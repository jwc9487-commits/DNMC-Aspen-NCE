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8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9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a6f56859bbe272/문서/2025/1. 논문/2. DNMC/4. Results/"/>
    </mc:Choice>
  </mc:AlternateContent>
  <xr:revisionPtr revIDLastSave="4398" documentId="8_{474B9357-2182-441C-BE0F-79F3A03C84E5}" xr6:coauthVersionLast="47" xr6:coauthVersionMax="47" xr10:uidLastSave="{D79A27AB-F769-42BB-88CB-8A2A7D6EFC21}"/>
  <bookViews>
    <workbookView xWindow="28680" yWindow="-120" windowWidth="29040" windowHeight="15720" firstSheet="1" activeTab="1" xr2:uid="{00000000-000D-0000-FFFF-FFFF00000000}"/>
  </bookViews>
  <sheets>
    <sheet name="1. DB_Experiment_VER1" sheetId="1" state="hidden" r:id="rId1"/>
    <sheet name="1. DB_Experiment_VER2" sheetId="10" r:id="rId2"/>
    <sheet name="5. HEN_equip" sheetId="25" state="hidden" r:id="rId3"/>
    <sheet name="3. UPC &amp; MSP (fixed)" sheetId="18" state="hidden" r:id="rId4"/>
    <sheet name="Previous_Technical performance" sheetId="3" state="hidden" r:id="rId5"/>
    <sheet name="5. Sensitivity" sheetId="26" state="hidden" r:id="rId6"/>
    <sheet name="5. HEN_Worksheet_Case4" sheetId="23" state="hidden" r:id="rId7"/>
    <sheet name="Previous_Economic Analysis" sheetId="9" state="hidden" r:id="rId8"/>
    <sheet name="Previous_Equipment cost" sheetId="4" state="hidden" r:id="rId9"/>
    <sheet name="DB_Aspen simulation_previous" sheetId="2" state="hidden" r:id="rId10"/>
    <sheet name="DB_APEA_EXECUTIVE SUMMARY" sheetId="5" state="hidden" r:id="rId11"/>
    <sheet name="DB_APEA_PROJSUM.ICS" sheetId="6" state="hidden" r:id="rId12"/>
    <sheet name="DB_APEA_CASHFLOW.ICS" sheetId="7" state="hidden" r:id="rId13"/>
  </sheets>
  <externalReferences>
    <externalReference r:id="rId14"/>
  </externalReferences>
  <definedNames>
    <definedName name="_xlnm.Print_Area" localSheetId="3">'3. UPC &amp; MSP (fixed)'!$B$20:$I$94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0" l="1"/>
  <c r="Q70" i="10" l="1"/>
  <c r="R70" i="10"/>
  <c r="S70" i="10"/>
  <c r="P70" i="10"/>
  <c r="Q68" i="10"/>
  <c r="R68" i="10"/>
  <c r="S68" i="10"/>
  <c r="P68" i="10"/>
  <c r="D72" i="10"/>
  <c r="T52" i="10" l="1"/>
  <c r="U52" i="10"/>
  <c r="V52" i="10"/>
  <c r="S52" i="10"/>
  <c r="R52" i="10"/>
  <c r="G44" i="10"/>
  <c r="Q32" i="10"/>
  <c r="R32" i="10"/>
  <c r="S32" i="10"/>
  <c r="P32" i="10"/>
  <c r="J115" i="10"/>
  <c r="L114" i="10"/>
  <c r="J111" i="10"/>
  <c r="L110" i="10"/>
  <c r="J107" i="10"/>
  <c r="L106" i="10"/>
  <c r="J103" i="10"/>
  <c r="L102" i="10"/>
  <c r="H44" i="10"/>
  <c r="H41" i="10"/>
  <c r="F127" i="10" l="1"/>
  <c r="E126" i="10"/>
  <c r="E78" i="10" l="1"/>
  <c r="F78" i="10"/>
  <c r="G78" i="10"/>
  <c r="H78" i="10"/>
  <c r="D78" i="10"/>
  <c r="E77" i="10"/>
  <c r="F77" i="10"/>
  <c r="G77" i="10"/>
  <c r="H77" i="10"/>
  <c r="D77" i="10"/>
  <c r="E76" i="10"/>
  <c r="F76" i="10"/>
  <c r="G76" i="10"/>
  <c r="H76" i="10"/>
  <c r="D76" i="10"/>
  <c r="E75" i="10"/>
  <c r="F75" i="10"/>
  <c r="G75" i="10"/>
  <c r="H75" i="10"/>
  <c r="D75" i="10"/>
  <c r="E74" i="10"/>
  <c r="F74" i="10"/>
  <c r="G74" i="10"/>
  <c r="H74" i="10"/>
  <c r="D74" i="10"/>
  <c r="E73" i="10"/>
  <c r="F73" i="10"/>
  <c r="G73" i="10"/>
  <c r="H73" i="10"/>
  <c r="D73" i="10"/>
  <c r="E72" i="10"/>
  <c r="F72" i="10"/>
  <c r="G72" i="10"/>
  <c r="H72" i="10"/>
  <c r="N20" i="10" l="1"/>
  <c r="M20" i="10"/>
  <c r="L20" i="10"/>
  <c r="J20" i="10"/>
  <c r="K20" i="10"/>
  <c r="E83" i="10"/>
  <c r="F83" i="10"/>
  <c r="E86" i="10"/>
  <c r="F86" i="10"/>
  <c r="E89" i="10"/>
  <c r="F89" i="10"/>
  <c r="E80" i="10"/>
  <c r="E87" i="10" s="1"/>
  <c r="F80" i="10"/>
  <c r="F90" i="10" s="1"/>
  <c r="G80" i="10"/>
  <c r="G83" i="10" s="1"/>
  <c r="H80" i="10"/>
  <c r="H87" i="10" s="1"/>
  <c r="D80" i="10"/>
  <c r="D89" i="10" s="1"/>
  <c r="E79" i="10"/>
  <c r="F79" i="10"/>
  <c r="G79" i="10"/>
  <c r="H79" i="10"/>
  <c r="D79" i="10"/>
  <c r="D85" i="10" l="1"/>
  <c r="G88" i="10"/>
  <c r="F85" i="10"/>
  <c r="H84" i="10"/>
  <c r="G84" i="10"/>
  <c r="F84" i="10"/>
  <c r="E85" i="10"/>
  <c r="E84" i="10"/>
  <c r="H90" i="10"/>
  <c r="G90" i="10"/>
  <c r="F87" i="10"/>
  <c r="H89" i="10"/>
  <c r="H86" i="10"/>
  <c r="H83" i="10"/>
  <c r="H88" i="10"/>
  <c r="H85" i="10"/>
  <c r="G85" i="10"/>
  <c r="F88" i="10"/>
  <c r="E88" i="10"/>
  <c r="G87" i="10"/>
  <c r="E90" i="10"/>
  <c r="G89" i="10"/>
  <c r="G86" i="10"/>
  <c r="D88" i="10"/>
  <c r="D87" i="10"/>
  <c r="D86" i="10"/>
  <c r="D84" i="10"/>
  <c r="D83" i="10"/>
  <c r="D90" i="10"/>
  <c r="E91" i="10" l="1"/>
  <c r="G91" i="10"/>
  <c r="F91" i="10"/>
  <c r="H91" i="10"/>
  <c r="D91" i="10"/>
  <c r="K22" i="10" l="1"/>
  <c r="C43" i="26" l="1"/>
  <c r="D43" i="26"/>
  <c r="C44" i="26"/>
  <c r="D44" i="26"/>
  <c r="C45" i="26"/>
  <c r="D45" i="26"/>
  <c r="C46" i="26"/>
  <c r="D46" i="26"/>
  <c r="D42" i="26"/>
  <c r="C42" i="26"/>
  <c r="D39" i="26"/>
  <c r="B39" i="26"/>
  <c r="C34" i="26"/>
  <c r="D34" i="26"/>
  <c r="C35" i="26"/>
  <c r="D35" i="26"/>
  <c r="C36" i="26"/>
  <c r="D36" i="26"/>
  <c r="C37" i="26"/>
  <c r="D37" i="26"/>
  <c r="D33" i="26"/>
  <c r="C33" i="26"/>
  <c r="D30" i="26"/>
  <c r="B30" i="26"/>
  <c r="C25" i="26"/>
  <c r="D25" i="26"/>
  <c r="C26" i="26"/>
  <c r="D26" i="26"/>
  <c r="C27" i="26"/>
  <c r="D27" i="26"/>
  <c r="C28" i="26"/>
  <c r="D28" i="26"/>
  <c r="C16" i="26"/>
  <c r="D16" i="26"/>
  <c r="C17" i="26"/>
  <c r="D17" i="26"/>
  <c r="C18" i="26"/>
  <c r="D18" i="26"/>
  <c r="C19" i="26"/>
  <c r="D19" i="26"/>
  <c r="D24" i="26"/>
  <c r="C24" i="26"/>
  <c r="D21" i="26"/>
  <c r="B21" i="26"/>
  <c r="D15" i="26"/>
  <c r="C15" i="26"/>
  <c r="D12" i="26"/>
  <c r="B12" i="26"/>
  <c r="O7" i="26"/>
  <c r="Q7" i="26"/>
  <c r="Q8" i="26"/>
  <c r="O8" i="26"/>
  <c r="Q6" i="26"/>
  <c r="O6" i="26"/>
  <c r="Q5" i="26"/>
  <c r="O5" i="26"/>
  <c r="Q4" i="26"/>
  <c r="O4" i="26"/>
  <c r="F46" i="26" l="1"/>
  <c r="E46" i="26"/>
  <c r="F43" i="26"/>
  <c r="F35" i="26"/>
  <c r="E37" i="26"/>
  <c r="F42" i="26"/>
  <c r="F45" i="26"/>
  <c r="E43" i="26"/>
  <c r="E45" i="26"/>
  <c r="E42" i="26"/>
  <c r="F44" i="26"/>
  <c r="E33" i="26"/>
  <c r="F34" i="26"/>
  <c r="E44" i="26"/>
  <c r="F37" i="26"/>
  <c r="F18" i="26"/>
  <c r="F36" i="26"/>
  <c r="E36" i="26"/>
  <c r="E34" i="26"/>
  <c r="F33" i="26"/>
  <c r="E35" i="26"/>
  <c r="F27" i="26"/>
  <c r="F16" i="26"/>
  <c r="E24" i="26"/>
  <c r="F24" i="26"/>
  <c r="E19" i="26"/>
  <c r="F15" i="26"/>
  <c r="E27" i="26"/>
  <c r="F17" i="26"/>
  <c r="F19" i="26"/>
  <c r="E16" i="26"/>
  <c r="E26" i="26"/>
  <c r="E25" i="26"/>
  <c r="E18" i="26"/>
  <c r="E15" i="26"/>
  <c r="F28" i="26"/>
  <c r="F25" i="26"/>
  <c r="E28" i="26"/>
  <c r="E17" i="26"/>
  <c r="F26" i="26"/>
  <c r="P17" i="23" l="1"/>
  <c r="P32" i="23" s="1"/>
  <c r="P3" i="23" l="1"/>
  <c r="P37" i="23" s="1"/>
  <c r="T75" i="23"/>
  <c r="S75" i="23"/>
  <c r="R75" i="23"/>
  <c r="Q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S74" i="23"/>
  <c r="Q74" i="23"/>
  <c r="O74" i="23"/>
  <c r="M74" i="23"/>
  <c r="K74" i="23"/>
  <c r="I74" i="23"/>
  <c r="G74" i="23"/>
  <c r="E74" i="23"/>
  <c r="C74" i="23"/>
  <c r="T73" i="23"/>
  <c r="S73" i="23"/>
  <c r="R73" i="23"/>
  <c r="Q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T72" i="23"/>
  <c r="S72" i="23"/>
  <c r="R72" i="23"/>
  <c r="Q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T71" i="23"/>
  <c r="S71" i="23"/>
  <c r="R71" i="23"/>
  <c r="Q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T70" i="23"/>
  <c r="S70" i="23"/>
  <c r="R70" i="23"/>
  <c r="Q70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T68" i="23"/>
  <c r="S68" i="23"/>
  <c r="R68" i="23"/>
  <c r="Q68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T67" i="23"/>
  <c r="S67" i="23"/>
  <c r="R67" i="23"/>
  <c r="Q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T66" i="23"/>
  <c r="S66" i="23"/>
  <c r="R66" i="23"/>
  <c r="Q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T65" i="23"/>
  <c r="S65" i="23"/>
  <c r="R65" i="23"/>
  <c r="Q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T64" i="23"/>
  <c r="S64" i="23"/>
  <c r="R64" i="23"/>
  <c r="Q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T63" i="23"/>
  <c r="S63" i="23"/>
  <c r="R63" i="23"/>
  <c r="Q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T62" i="23"/>
  <c r="S62" i="23"/>
  <c r="R62" i="23"/>
  <c r="Q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T61" i="23"/>
  <c r="S61" i="23"/>
  <c r="R61" i="23"/>
  <c r="Q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T60" i="23"/>
  <c r="S60" i="23"/>
  <c r="R60" i="23"/>
  <c r="Q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T58" i="23"/>
  <c r="S58" i="23"/>
  <c r="R58" i="23"/>
  <c r="Q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T57" i="23"/>
  <c r="S57" i="23"/>
  <c r="R57" i="23"/>
  <c r="Q57" i="23"/>
  <c r="O57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T56" i="23"/>
  <c r="S56" i="23"/>
  <c r="R56" i="23"/>
  <c r="Q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T55" i="23"/>
  <c r="S55" i="23"/>
  <c r="R55" i="23"/>
  <c r="Q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T54" i="23"/>
  <c r="S54" i="23"/>
  <c r="R54" i="23"/>
  <c r="Q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T53" i="23"/>
  <c r="S53" i="23"/>
  <c r="R53" i="23"/>
  <c r="Q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T49" i="23"/>
  <c r="S49" i="23"/>
  <c r="Q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T48" i="23"/>
  <c r="S48" i="23"/>
  <c r="Q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T47" i="23"/>
  <c r="S47" i="23"/>
  <c r="Q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T46" i="23"/>
  <c r="S46" i="23"/>
  <c r="Q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T45" i="23"/>
  <c r="S45" i="23"/>
  <c r="Q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T44" i="23"/>
  <c r="S44" i="23"/>
  <c r="Q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T43" i="23"/>
  <c r="S43" i="23"/>
  <c r="Q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T42" i="23"/>
  <c r="S42" i="23"/>
  <c r="Q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T41" i="23"/>
  <c r="S41" i="23"/>
  <c r="Q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T40" i="23"/>
  <c r="S40" i="23"/>
  <c r="Q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T39" i="23"/>
  <c r="S39" i="23"/>
  <c r="Q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T38" i="23"/>
  <c r="S38" i="23"/>
  <c r="Q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T37" i="23"/>
  <c r="S37" i="23"/>
  <c r="Q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T35" i="23"/>
  <c r="S35" i="23"/>
  <c r="Q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T34" i="23"/>
  <c r="S34" i="23"/>
  <c r="Q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T33" i="23"/>
  <c r="S33" i="23"/>
  <c r="Q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T32" i="23"/>
  <c r="S32" i="23"/>
  <c r="Q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T30" i="23"/>
  <c r="S30" i="23"/>
  <c r="Q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P26" i="23"/>
  <c r="P34" i="23" s="1"/>
  <c r="P25" i="23"/>
  <c r="P33" i="23" s="1"/>
  <c r="P24" i="23"/>
  <c r="P48" i="23" s="1"/>
  <c r="P23" i="23"/>
  <c r="P67" i="23" s="1"/>
  <c r="P22" i="23"/>
  <c r="P35" i="23" s="1"/>
  <c r="P21" i="23"/>
  <c r="P20" i="23"/>
  <c r="P73" i="23" s="1"/>
  <c r="P19" i="23"/>
  <c r="P72" i="23" s="1"/>
  <c r="P18" i="23"/>
  <c r="P46" i="23" s="1"/>
  <c r="P16" i="23"/>
  <c r="P65" i="23" s="1"/>
  <c r="P15" i="23"/>
  <c r="P64" i="23" s="1"/>
  <c r="P14" i="23"/>
  <c r="P71" i="23" s="1"/>
  <c r="P13" i="23"/>
  <c r="P45" i="23" s="1"/>
  <c r="P12" i="23"/>
  <c r="P44" i="23" s="1"/>
  <c r="P11" i="23"/>
  <c r="P43" i="23" s="1"/>
  <c r="P10" i="23"/>
  <c r="P42" i="23" s="1"/>
  <c r="P9" i="23"/>
  <c r="P58" i="23" s="1"/>
  <c r="P8" i="23"/>
  <c r="P57" i="23" s="1"/>
  <c r="Z31" i="23" s="1"/>
  <c r="P7" i="23"/>
  <c r="P60" i="23" s="1"/>
  <c r="P6" i="23"/>
  <c r="P39" i="23" s="1"/>
  <c r="P5" i="23"/>
  <c r="P55" i="23" s="1"/>
  <c r="P4" i="23"/>
  <c r="P54" i="23" s="1"/>
  <c r="X32" i="23" l="1"/>
  <c r="X34" i="23" s="1"/>
  <c r="P30" i="23"/>
  <c r="W31" i="23" s="1"/>
  <c r="P62" i="23"/>
  <c r="P70" i="23"/>
  <c r="P49" i="23"/>
  <c r="P53" i="23"/>
  <c r="P61" i="23"/>
  <c r="P66" i="23"/>
  <c r="P75" i="23"/>
  <c r="P40" i="23"/>
  <c r="Z32" i="23"/>
  <c r="P41" i="23"/>
  <c r="Z33" i="23"/>
  <c r="W32" i="23"/>
  <c r="P38" i="23"/>
  <c r="P68" i="23"/>
  <c r="P56" i="23"/>
  <c r="P47" i="23"/>
  <c r="P63" i="23"/>
  <c r="Y31" i="23" l="1"/>
  <c r="Z34" i="23"/>
  <c r="W33" i="23"/>
  <c r="W34" i="23" s="1"/>
  <c r="Y33" i="23"/>
  <c r="Y32" i="23"/>
  <c r="Y34" i="23" l="1"/>
  <c r="K39" i="10" l="1"/>
  <c r="L39" i="10"/>
  <c r="M39" i="10"/>
  <c r="N39" i="10"/>
  <c r="J39" i="10"/>
  <c r="J24" i="10"/>
  <c r="L69" i="18" l="1"/>
  <c r="E46" i="18"/>
  <c r="E47" i="18"/>
  <c r="Q42" i="18"/>
  <c r="F61" i="18" l="1"/>
  <c r="F57" i="18"/>
  <c r="G57" i="18"/>
  <c r="H57" i="18"/>
  <c r="I57" i="18"/>
  <c r="F58" i="18"/>
  <c r="G58" i="18"/>
  <c r="H58" i="18"/>
  <c r="I58" i="18"/>
  <c r="F59" i="18"/>
  <c r="G59" i="18"/>
  <c r="H59" i="18"/>
  <c r="I59" i="18"/>
  <c r="F60" i="18"/>
  <c r="G60" i="18"/>
  <c r="H60" i="18"/>
  <c r="I60" i="18"/>
  <c r="G61" i="18"/>
  <c r="H61" i="18"/>
  <c r="I61" i="18"/>
  <c r="F62" i="18"/>
  <c r="G62" i="18"/>
  <c r="H62" i="18"/>
  <c r="I62" i="18"/>
  <c r="E58" i="18"/>
  <c r="E59" i="18"/>
  <c r="E60" i="18"/>
  <c r="E61" i="18"/>
  <c r="E62" i="18"/>
  <c r="E57" i="18"/>
  <c r="Q43" i="18"/>
  <c r="F45" i="18"/>
  <c r="I86" i="18"/>
  <c r="G24" i="18"/>
  <c r="G27" i="18"/>
  <c r="L66" i="18"/>
  <c r="E90" i="18" s="1"/>
  <c r="R42" i="18"/>
  <c r="T42" i="18"/>
  <c r="T43" i="18"/>
  <c r="S43" i="18"/>
  <c r="S42" i="18"/>
  <c r="R43" i="18"/>
  <c r="I36" i="18"/>
  <c r="H24" i="18"/>
  <c r="I24" i="18"/>
  <c r="G25" i="18"/>
  <c r="H25" i="18"/>
  <c r="I25" i="18"/>
  <c r="G26" i="18"/>
  <c r="H26" i="18"/>
  <c r="I26" i="18"/>
  <c r="H27" i="18"/>
  <c r="I27" i="18"/>
  <c r="G28" i="18"/>
  <c r="H28" i="18"/>
  <c r="I28" i="18"/>
  <c r="G29" i="18"/>
  <c r="H29" i="18"/>
  <c r="I29" i="18"/>
  <c r="G30" i="18"/>
  <c r="H30" i="18"/>
  <c r="I30" i="18"/>
  <c r="G32" i="18"/>
  <c r="H32" i="18"/>
  <c r="I32" i="18"/>
  <c r="G33" i="18"/>
  <c r="H33" i="18"/>
  <c r="I33" i="18"/>
  <c r="G34" i="18"/>
  <c r="H34" i="18"/>
  <c r="I34" i="18"/>
  <c r="G35" i="18"/>
  <c r="H35" i="18"/>
  <c r="I35" i="18"/>
  <c r="G36" i="18"/>
  <c r="H36" i="18"/>
  <c r="G52" i="18"/>
  <c r="H52" i="18"/>
  <c r="I52" i="18"/>
  <c r="F52" i="18"/>
  <c r="E15" i="18"/>
  <c r="E52" i="18"/>
  <c r="E66" i="18" l="1"/>
  <c r="E101" i="18" s="1"/>
  <c r="F66" i="18"/>
  <c r="F101" i="18" s="1"/>
  <c r="H69" i="18"/>
  <c r="H104" i="18" s="1"/>
  <c r="F69" i="18"/>
  <c r="F104" i="18" s="1"/>
  <c r="I66" i="18"/>
  <c r="I101" i="18" s="1"/>
  <c r="H66" i="18"/>
  <c r="H101" i="18" s="1"/>
  <c r="G69" i="18"/>
  <c r="G104" i="18" s="1"/>
  <c r="G66" i="18"/>
  <c r="G101" i="18" s="1"/>
  <c r="E69" i="18"/>
  <c r="E104" i="18" s="1"/>
  <c r="I69" i="18"/>
  <c r="I104" i="18" s="1"/>
  <c r="E83" i="18"/>
  <c r="G93" i="18"/>
  <c r="G86" i="18"/>
  <c r="H93" i="18"/>
  <c r="I93" i="18"/>
  <c r="H86" i="18"/>
  <c r="E86" i="18"/>
  <c r="F86" i="18"/>
  <c r="F93" i="18"/>
  <c r="E93" i="18"/>
  <c r="G22" i="18"/>
  <c r="H22" i="18"/>
  <c r="I31" i="18"/>
  <c r="H31" i="18"/>
  <c r="I22" i="18"/>
  <c r="G31" i="18"/>
  <c r="G44" i="18"/>
  <c r="G43" i="18"/>
  <c r="H43" i="18"/>
  <c r="I43" i="18"/>
  <c r="F44" i="18"/>
  <c r="H44" i="18"/>
  <c r="I44" i="18"/>
  <c r="G45" i="18"/>
  <c r="H45" i="18"/>
  <c r="I45" i="18"/>
  <c r="F46" i="18"/>
  <c r="G46" i="18"/>
  <c r="H46" i="18"/>
  <c r="I46" i="18"/>
  <c r="F47" i="18"/>
  <c r="G47" i="18"/>
  <c r="H47" i="18"/>
  <c r="I47" i="18"/>
  <c r="F48" i="18"/>
  <c r="G48" i="18"/>
  <c r="H48" i="18"/>
  <c r="I48" i="18"/>
  <c r="F43" i="18"/>
  <c r="F41" i="18"/>
  <c r="R41" i="18"/>
  <c r="G41" i="18" s="1"/>
  <c r="S41" i="18"/>
  <c r="H41" i="18" s="1"/>
  <c r="T41" i="18"/>
  <c r="I41" i="18" s="1"/>
  <c r="I21" i="18" l="1"/>
  <c r="I75" i="18" s="1"/>
  <c r="H21" i="18"/>
  <c r="G21" i="18"/>
  <c r="E41" i="18"/>
  <c r="F24" i="18"/>
  <c r="F25" i="18"/>
  <c r="F26" i="18"/>
  <c r="F27" i="18"/>
  <c r="F28" i="18"/>
  <c r="F29" i="18"/>
  <c r="F30" i="18"/>
  <c r="F32" i="18"/>
  <c r="F33" i="18"/>
  <c r="F34" i="18"/>
  <c r="F35" i="18"/>
  <c r="F36" i="18"/>
  <c r="E33" i="18"/>
  <c r="E34" i="18"/>
  <c r="E35" i="18"/>
  <c r="E36" i="18"/>
  <c r="E32" i="18"/>
  <c r="E25" i="18"/>
  <c r="E26" i="18"/>
  <c r="E27" i="18"/>
  <c r="E28" i="18"/>
  <c r="E29" i="18"/>
  <c r="E30" i="18"/>
  <c r="E24" i="18"/>
  <c r="E43" i="18"/>
  <c r="E44" i="18"/>
  <c r="E45" i="18"/>
  <c r="E48" i="18"/>
  <c r="L42" i="18"/>
  <c r="G42" i="18" s="1"/>
  <c r="L70" i="18"/>
  <c r="L68" i="18"/>
  <c r="G37" i="18" l="1"/>
  <c r="G75" i="18"/>
  <c r="H37" i="18"/>
  <c r="H75" i="18"/>
  <c r="H51" i="18" s="1"/>
  <c r="E68" i="18"/>
  <c r="E103" i="18" s="1"/>
  <c r="G68" i="18"/>
  <c r="G103" i="18" s="1"/>
  <c r="F68" i="18"/>
  <c r="F103" i="18" s="1"/>
  <c r="I68" i="18"/>
  <c r="I103" i="18" s="1"/>
  <c r="H68" i="18"/>
  <c r="H103" i="18" s="1"/>
  <c r="I70" i="18"/>
  <c r="I105" i="18" s="1"/>
  <c r="F70" i="18"/>
  <c r="F105" i="18" s="1"/>
  <c r="H70" i="18"/>
  <c r="H105" i="18" s="1"/>
  <c r="G70" i="18"/>
  <c r="G105" i="18" s="1"/>
  <c r="E70" i="18"/>
  <c r="E105" i="18" s="1"/>
  <c r="I76" i="18"/>
  <c r="I37" i="18"/>
  <c r="I85" i="18"/>
  <c r="H92" i="18"/>
  <c r="G85" i="18"/>
  <c r="H85" i="18"/>
  <c r="G92" i="18"/>
  <c r="I92" i="18"/>
  <c r="I87" i="18"/>
  <c r="G87" i="18"/>
  <c r="H94" i="18"/>
  <c r="G94" i="18"/>
  <c r="H87" i="18"/>
  <c r="I94" i="18"/>
  <c r="G83" i="18"/>
  <c r="H83" i="18"/>
  <c r="I90" i="18"/>
  <c r="G90" i="18"/>
  <c r="I83" i="18"/>
  <c r="H90" i="18"/>
  <c r="F94" i="18"/>
  <c r="E94" i="18"/>
  <c r="E92" i="18"/>
  <c r="F92" i="18"/>
  <c r="F90" i="18"/>
  <c r="F85" i="18"/>
  <c r="F83" i="18"/>
  <c r="E85" i="18"/>
  <c r="F87" i="18"/>
  <c r="E87" i="18"/>
  <c r="I51" i="18"/>
  <c r="I53" i="18" s="1"/>
  <c r="I54" i="18" s="1"/>
  <c r="G76" i="18"/>
  <c r="H76" i="18"/>
  <c r="E42" i="18"/>
  <c r="H42" i="18"/>
  <c r="F42" i="18"/>
  <c r="G40" i="18"/>
  <c r="I42" i="18"/>
  <c r="E31" i="18"/>
  <c r="E22" i="18"/>
  <c r="F22" i="18"/>
  <c r="F31" i="18"/>
  <c r="L67" i="18"/>
  <c r="E84" i="18" s="1"/>
  <c r="H40" i="18" l="1"/>
  <c r="I40" i="18"/>
  <c r="F40" i="18"/>
  <c r="E40" i="18"/>
  <c r="G51" i="18"/>
  <c r="G53" i="18" s="1"/>
  <c r="G54" i="18" s="1"/>
  <c r="G49" i="18" s="1"/>
  <c r="E67" i="18"/>
  <c r="E102" i="18" s="1"/>
  <c r="F67" i="18"/>
  <c r="F102" i="18" s="1"/>
  <c r="G67" i="18"/>
  <c r="G102" i="18" s="1"/>
  <c r="H67" i="18"/>
  <c r="H102" i="18" s="1"/>
  <c r="I67" i="18"/>
  <c r="I102" i="18" s="1"/>
  <c r="G84" i="18"/>
  <c r="H84" i="18"/>
  <c r="G91" i="18"/>
  <c r="I84" i="18"/>
  <c r="H91" i="18"/>
  <c r="I91" i="18"/>
  <c r="E91" i="18"/>
  <c r="F91" i="18"/>
  <c r="F84" i="18"/>
  <c r="I49" i="18"/>
  <c r="H53" i="18"/>
  <c r="H54" i="18" s="1"/>
  <c r="H49" i="18" s="1"/>
  <c r="E21" i="18"/>
  <c r="E75" i="18" s="1"/>
  <c r="F21" i="18"/>
  <c r="I39" i="18" l="1"/>
  <c r="T58" i="18" s="1"/>
  <c r="G39" i="18"/>
  <c r="R58" i="18" s="1"/>
  <c r="H39" i="18"/>
  <c r="S58" i="18" s="1"/>
  <c r="F37" i="18"/>
  <c r="F75" i="18"/>
  <c r="E37" i="18"/>
  <c r="F76" i="18"/>
  <c r="D31" i="18"/>
  <c r="D22" i="18"/>
  <c r="L19" i="9"/>
  <c r="L20" i="9"/>
  <c r="L4" i="9"/>
  <c r="L9" i="9"/>
  <c r="N80" i="3"/>
  <c r="M210" i="2"/>
  <c r="J89" i="3"/>
  <c r="J81" i="3"/>
  <c r="J82" i="3"/>
  <c r="J83" i="3"/>
  <c r="J84" i="3"/>
  <c r="J85" i="3"/>
  <c r="J87" i="3"/>
  <c r="J88" i="3"/>
  <c r="J80" i="3"/>
  <c r="H195" i="2"/>
  <c r="I64" i="18" l="1"/>
  <c r="I99" i="18" s="1"/>
  <c r="I80" i="18"/>
  <c r="I74" i="18" s="1"/>
  <c r="I79" i="18" s="1"/>
  <c r="I77" i="18" s="1"/>
  <c r="I78" i="18" s="1"/>
  <c r="H80" i="18"/>
  <c r="H74" i="18" s="1"/>
  <c r="H79" i="18" s="1"/>
  <c r="H77" i="18" s="1"/>
  <c r="H78" i="18" s="1"/>
  <c r="G80" i="18"/>
  <c r="G74" i="18" s="1"/>
  <c r="G81" i="18" s="1"/>
  <c r="G82" i="18" s="1"/>
  <c r="G89" i="18" s="1"/>
  <c r="H64" i="18"/>
  <c r="S56" i="18"/>
  <c r="S52" i="18"/>
  <c r="S57" i="18"/>
  <c r="S50" i="18"/>
  <c r="S55" i="18"/>
  <c r="S53" i="18"/>
  <c r="S54" i="18"/>
  <c r="S51" i="18"/>
  <c r="G64" i="18"/>
  <c r="R50" i="18"/>
  <c r="R52" i="18"/>
  <c r="R57" i="18"/>
  <c r="R55" i="18"/>
  <c r="R53" i="18"/>
  <c r="R54" i="18"/>
  <c r="R56" i="18"/>
  <c r="R51" i="18"/>
  <c r="T50" i="18"/>
  <c r="T53" i="18"/>
  <c r="T56" i="18"/>
  <c r="T52" i="18"/>
  <c r="T55" i="18"/>
  <c r="T57" i="18"/>
  <c r="T54" i="18"/>
  <c r="T51" i="18"/>
  <c r="F51" i="18"/>
  <c r="F53" i="18" s="1"/>
  <c r="F54" i="18" s="1"/>
  <c r="D21" i="18"/>
  <c r="F12" i="10"/>
  <c r="Q43" i="10" s="1"/>
  <c r="D12" i="10"/>
  <c r="E12" i="10"/>
  <c r="E45" i="10" s="1"/>
  <c r="L18" i="10" s="1"/>
  <c r="E14" i="10"/>
  <c r="C12" i="10"/>
  <c r="C45" i="10" s="1"/>
  <c r="J18" i="10" s="1"/>
  <c r="G41" i="10"/>
  <c r="D179" i="2"/>
  <c r="O44" i="9" s="1"/>
  <c r="G37" i="1"/>
  <c r="H37" i="1"/>
  <c r="N49" i="10"/>
  <c r="F41" i="10"/>
  <c r="E41" i="10"/>
  <c r="D41" i="10"/>
  <c r="C41" i="10"/>
  <c r="G14" i="10"/>
  <c r="F14" i="10"/>
  <c r="C14" i="10"/>
  <c r="G12" i="10"/>
  <c r="K67" i="9"/>
  <c r="O43" i="10" l="1"/>
  <c r="I65" i="18"/>
  <c r="I71" i="18" s="1"/>
  <c r="G99" i="18"/>
  <c r="G65" i="18"/>
  <c r="H99" i="18"/>
  <c r="H65" i="18"/>
  <c r="G122" i="18"/>
  <c r="G127" i="18"/>
  <c r="G123" i="18"/>
  <c r="G128" i="18"/>
  <c r="G124" i="18"/>
  <c r="G129" i="18"/>
  <c r="G125" i="18"/>
  <c r="G130" i="18"/>
  <c r="G131" i="18"/>
  <c r="G79" i="18"/>
  <c r="G77" i="18" s="1"/>
  <c r="G78" i="18" s="1"/>
  <c r="I81" i="18"/>
  <c r="I82" i="18" s="1"/>
  <c r="I89" i="18" s="1"/>
  <c r="H81" i="18"/>
  <c r="H82" i="18" s="1"/>
  <c r="H89" i="18" s="1"/>
  <c r="F49" i="18"/>
  <c r="E76" i="18"/>
  <c r="E51" i="18"/>
  <c r="D45" i="10"/>
  <c r="K18" i="10" s="1"/>
  <c r="N43" i="10"/>
  <c r="K14" i="10"/>
  <c r="K15" i="10" s="1"/>
  <c r="N14" i="10"/>
  <c r="J14" i="10"/>
  <c r="J15" i="10" s="1"/>
  <c r="L14" i="10"/>
  <c r="M14" i="10"/>
  <c r="F45" i="10"/>
  <c r="M18" i="10" s="1"/>
  <c r="E53" i="10"/>
  <c r="L26" i="10" s="1"/>
  <c r="G45" i="10"/>
  <c r="C53" i="10"/>
  <c r="J26" i="10" s="1"/>
  <c r="E50" i="10"/>
  <c r="E51" i="10"/>
  <c r="P43" i="10"/>
  <c r="C49" i="10"/>
  <c r="J22" i="10" s="1"/>
  <c r="E49" i="10"/>
  <c r="L22" i="10" s="1"/>
  <c r="R43" i="10"/>
  <c r="C52" i="10"/>
  <c r="J25" i="10" s="1"/>
  <c r="C48" i="10"/>
  <c r="J21" i="10" s="1"/>
  <c r="E52" i="10"/>
  <c r="L25" i="10" s="1"/>
  <c r="C47" i="10"/>
  <c r="C46" i="10"/>
  <c r="J19" i="10" s="1"/>
  <c r="E46" i="10"/>
  <c r="L19" i="10" s="1"/>
  <c r="E48" i="10"/>
  <c r="L21" i="10" s="1"/>
  <c r="E47" i="10"/>
  <c r="C50" i="10"/>
  <c r="J23" i="10" s="1"/>
  <c r="AE68" i="9"/>
  <c r="AE67" i="9"/>
  <c r="AE66" i="9"/>
  <c r="AE65" i="9"/>
  <c r="AE64" i="9"/>
  <c r="G52" i="10" l="1"/>
  <c r="N18" i="10"/>
  <c r="P48" i="10"/>
  <c r="L23" i="10"/>
  <c r="J27" i="10"/>
  <c r="P49" i="10"/>
  <c r="L24" i="10"/>
  <c r="D49" i="10"/>
  <c r="I100" i="18"/>
  <c r="F39" i="18"/>
  <c r="Q58" i="18" s="1"/>
  <c r="H100" i="18"/>
  <c r="H71" i="18"/>
  <c r="G100" i="18"/>
  <c r="G71" i="18"/>
  <c r="G126" i="18"/>
  <c r="I122" i="18"/>
  <c r="I127" i="18"/>
  <c r="I123" i="18"/>
  <c r="I128" i="18"/>
  <c r="I124" i="18"/>
  <c r="I129" i="18"/>
  <c r="I125" i="18"/>
  <c r="I130" i="18"/>
  <c r="I131" i="18"/>
  <c r="I126" i="18"/>
  <c r="H122" i="18"/>
  <c r="H127" i="18"/>
  <c r="H128" i="18"/>
  <c r="H123" i="18"/>
  <c r="H129" i="18"/>
  <c r="H124" i="18"/>
  <c r="H130" i="18"/>
  <c r="H125" i="18"/>
  <c r="H131" i="18"/>
  <c r="H126" i="18"/>
  <c r="I113" i="18"/>
  <c r="I114" i="18"/>
  <c r="I117" i="18"/>
  <c r="I115" i="18"/>
  <c r="I116" i="18"/>
  <c r="I110" i="18"/>
  <c r="I111" i="18"/>
  <c r="I112" i="18"/>
  <c r="I109" i="18"/>
  <c r="E53" i="18"/>
  <c r="E54" i="18" s="1"/>
  <c r="F47" i="10"/>
  <c r="F50" i="10"/>
  <c r="D53" i="10"/>
  <c r="K26" i="10" s="1"/>
  <c r="D46" i="10"/>
  <c r="D52" i="10"/>
  <c r="G46" i="10"/>
  <c r="F53" i="10"/>
  <c r="M26" i="10" s="1"/>
  <c r="F51" i="10"/>
  <c r="D48" i="10"/>
  <c r="D50" i="10"/>
  <c r="D47" i="10"/>
  <c r="F48" i="10"/>
  <c r="F46" i="10"/>
  <c r="D51" i="10"/>
  <c r="F52" i="10"/>
  <c r="G48" i="10"/>
  <c r="G53" i="10"/>
  <c r="N26" i="10" s="1"/>
  <c r="G50" i="10"/>
  <c r="F49" i="10"/>
  <c r="G51" i="10"/>
  <c r="G49" i="10"/>
  <c r="G47" i="10"/>
  <c r="P47" i="10"/>
  <c r="P50" i="10"/>
  <c r="N46" i="10"/>
  <c r="N48" i="10"/>
  <c r="N44" i="10"/>
  <c r="P45" i="10"/>
  <c r="N47" i="10"/>
  <c r="N50" i="10"/>
  <c r="P46" i="10"/>
  <c r="P44" i="10"/>
  <c r="N45" i="10"/>
  <c r="I109" i="9"/>
  <c r="I110" i="9"/>
  <c r="I111" i="9"/>
  <c r="I112" i="9"/>
  <c r="I113" i="9"/>
  <c r="I114" i="9"/>
  <c r="H109" i="9"/>
  <c r="H110" i="9"/>
  <c r="H111" i="9"/>
  <c r="H112" i="9"/>
  <c r="H113" i="9"/>
  <c r="H114" i="9"/>
  <c r="I108" i="9"/>
  <c r="H108" i="9"/>
  <c r="J31" i="10" l="1"/>
  <c r="J35" i="10"/>
  <c r="J33" i="10"/>
  <c r="J37" i="10"/>
  <c r="Q44" i="10"/>
  <c r="M19" i="10"/>
  <c r="J38" i="10"/>
  <c r="J36" i="10"/>
  <c r="R44" i="10"/>
  <c r="N19" i="10"/>
  <c r="J32" i="10"/>
  <c r="Q49" i="10"/>
  <c r="M24" i="10"/>
  <c r="R45" i="10"/>
  <c r="R49" i="10"/>
  <c r="N24" i="10"/>
  <c r="Q46" i="10"/>
  <c r="M21" i="10"/>
  <c r="R47" i="10"/>
  <c r="N22" i="10"/>
  <c r="Q47" i="10"/>
  <c r="M22" i="10"/>
  <c r="J34" i="10"/>
  <c r="R48" i="10"/>
  <c r="N23" i="10"/>
  <c r="L27" i="10"/>
  <c r="L36" i="10" s="1"/>
  <c r="Q45" i="10"/>
  <c r="R46" i="10"/>
  <c r="N21" i="10"/>
  <c r="Q48" i="10"/>
  <c r="M23" i="10"/>
  <c r="Q50" i="10"/>
  <c r="M25" i="10"/>
  <c r="R50" i="10"/>
  <c r="N25" i="10"/>
  <c r="O46" i="10"/>
  <c r="K21" i="10"/>
  <c r="O50" i="10"/>
  <c r="K25" i="10"/>
  <c r="O48" i="10"/>
  <c r="K23" i="10"/>
  <c r="O44" i="10"/>
  <c r="K19" i="10"/>
  <c r="O49" i="10"/>
  <c r="K24" i="10"/>
  <c r="O45" i="10"/>
  <c r="O47" i="10"/>
  <c r="F80" i="18"/>
  <c r="F74" i="18" s="1"/>
  <c r="F81" i="18" s="1"/>
  <c r="F82" i="18" s="1"/>
  <c r="F89" i="18" s="1"/>
  <c r="G109" i="18"/>
  <c r="G112" i="18"/>
  <c r="G110" i="18"/>
  <c r="G114" i="18"/>
  <c r="G113" i="18"/>
  <c r="G116" i="18"/>
  <c r="G115" i="18"/>
  <c r="G111" i="18"/>
  <c r="G117" i="18"/>
  <c r="H110" i="18"/>
  <c r="H111" i="18"/>
  <c r="H112" i="18"/>
  <c r="H116" i="18"/>
  <c r="H109" i="18"/>
  <c r="H114" i="18"/>
  <c r="H115" i="18"/>
  <c r="H117" i="18"/>
  <c r="H113" i="18"/>
  <c r="F64" i="18"/>
  <c r="Q54" i="18"/>
  <c r="Q52" i="18"/>
  <c r="Q57" i="18"/>
  <c r="Q50" i="18"/>
  <c r="Q53" i="18"/>
  <c r="Q56" i="18"/>
  <c r="Q55" i="18"/>
  <c r="Q51" i="18"/>
  <c r="E49" i="18"/>
  <c r="N51" i="10"/>
  <c r="N52" i="10" s="1"/>
  <c r="C44" i="10" s="1"/>
  <c r="P51" i="10"/>
  <c r="P52" i="10" s="1"/>
  <c r="E44" i="10" s="1"/>
  <c r="F112" i="9"/>
  <c r="G109" i="9"/>
  <c r="G110" i="9"/>
  <c r="G111" i="9"/>
  <c r="G112" i="9"/>
  <c r="G113" i="9"/>
  <c r="G114" i="9"/>
  <c r="G108" i="9"/>
  <c r="F109" i="9"/>
  <c r="F110" i="9"/>
  <c r="F111" i="9"/>
  <c r="F113" i="9"/>
  <c r="F114" i="9"/>
  <c r="F108" i="9"/>
  <c r="M50" i="9"/>
  <c r="M54" i="9"/>
  <c r="L35" i="10" l="1"/>
  <c r="R51" i="10"/>
  <c r="G54" i="10" s="1"/>
  <c r="G57" i="10" s="1"/>
  <c r="Q51" i="10"/>
  <c r="Q52" i="10" s="1"/>
  <c r="F44" i="10" s="1"/>
  <c r="F54" i="10" s="1"/>
  <c r="K27" i="10"/>
  <c r="K38" i="10" s="1"/>
  <c r="L31" i="10"/>
  <c r="L38" i="10"/>
  <c r="L33" i="10"/>
  <c r="L34" i="10"/>
  <c r="L37" i="10"/>
  <c r="L32" i="10"/>
  <c r="N27" i="10"/>
  <c r="M27" i="10"/>
  <c r="M36" i="10" s="1"/>
  <c r="O51" i="10"/>
  <c r="O52" i="10" s="1"/>
  <c r="D44" i="10" s="1"/>
  <c r="D54" i="10" s="1"/>
  <c r="F65" i="18"/>
  <c r="F99" i="18"/>
  <c r="E39" i="18"/>
  <c r="P58" i="18" s="1"/>
  <c r="F123" i="18"/>
  <c r="F128" i="18"/>
  <c r="F124" i="18"/>
  <c r="F129" i="18"/>
  <c r="F122" i="18"/>
  <c r="F127" i="18"/>
  <c r="F125" i="18"/>
  <c r="F130" i="18"/>
  <c r="F131" i="18"/>
  <c r="F79" i="18"/>
  <c r="F77" i="18" s="1"/>
  <c r="F78" i="18" s="1"/>
  <c r="C54" i="10"/>
  <c r="C57" i="10" s="1"/>
  <c r="E54" i="10"/>
  <c r="E57" i="10" s="1"/>
  <c r="P48" i="9"/>
  <c r="N35" i="10" l="1"/>
  <c r="N38" i="10"/>
  <c r="K36" i="10"/>
  <c r="K34" i="10"/>
  <c r="K35" i="10"/>
  <c r="N36" i="10"/>
  <c r="N31" i="10"/>
  <c r="K31" i="10"/>
  <c r="M31" i="10"/>
  <c r="M38" i="10"/>
  <c r="K33" i="10"/>
  <c r="K32" i="10"/>
  <c r="N37" i="10"/>
  <c r="N34" i="10"/>
  <c r="M33" i="10"/>
  <c r="M37" i="10"/>
  <c r="N32" i="10"/>
  <c r="M32" i="10"/>
  <c r="M34" i="10"/>
  <c r="N33" i="10"/>
  <c r="K37" i="10"/>
  <c r="M35" i="10"/>
  <c r="E64" i="18"/>
  <c r="E99" i="18" s="1"/>
  <c r="P56" i="18"/>
  <c r="P55" i="18"/>
  <c r="P50" i="18"/>
  <c r="P54" i="18"/>
  <c r="P57" i="18"/>
  <c r="P53" i="18"/>
  <c r="P52" i="18"/>
  <c r="P51" i="18"/>
  <c r="F100" i="18"/>
  <c r="F71" i="18"/>
  <c r="F126" i="18"/>
  <c r="F59" i="10"/>
  <c r="F67" i="10"/>
  <c r="F64" i="10"/>
  <c r="F60" i="10"/>
  <c r="F65" i="10"/>
  <c r="F61" i="10"/>
  <c r="F62" i="10"/>
  <c r="F63" i="10"/>
  <c r="F57" i="10"/>
  <c r="D57" i="10"/>
  <c r="G60" i="10"/>
  <c r="G59" i="10"/>
  <c r="G65" i="10"/>
  <c r="G64" i="10"/>
  <c r="G63" i="10"/>
  <c r="G62" i="10"/>
  <c r="G61" i="10"/>
  <c r="G67" i="10"/>
  <c r="E59" i="10"/>
  <c r="E67" i="10"/>
  <c r="E64" i="10"/>
  <c r="E63" i="10"/>
  <c r="E61" i="10"/>
  <c r="E62" i="10"/>
  <c r="E65" i="10"/>
  <c r="E60" i="10"/>
  <c r="C59" i="10"/>
  <c r="C67" i="10"/>
  <c r="C60" i="10"/>
  <c r="C64" i="10"/>
  <c r="C61" i="10"/>
  <c r="C65" i="10"/>
  <c r="C62" i="10"/>
  <c r="C63" i="10"/>
  <c r="M44" i="9"/>
  <c r="H200" i="2"/>
  <c r="L22" i="9"/>
  <c r="E163" i="6"/>
  <c r="F109" i="18" l="1"/>
  <c r="F110" i="18"/>
  <c r="F116" i="18"/>
  <c r="F113" i="18"/>
  <c r="F115" i="18"/>
  <c r="F112" i="18"/>
  <c r="F117" i="18"/>
  <c r="F114" i="18"/>
  <c r="F111" i="18"/>
  <c r="F68" i="10"/>
  <c r="G68" i="10"/>
  <c r="C68" i="10"/>
  <c r="E68" i="10"/>
  <c r="D65" i="10"/>
  <c r="D59" i="10"/>
  <c r="D67" i="10"/>
  <c r="D61" i="10"/>
  <c r="D63" i="10"/>
  <c r="D60" i="10"/>
  <c r="D62" i="10"/>
  <c r="D64" i="10"/>
  <c r="F54" i="9"/>
  <c r="D68" i="10" l="1"/>
  <c r="C119" i="9"/>
  <c r="AE61" i="9"/>
  <c r="G181" i="2"/>
  <c r="G180" i="2"/>
  <c r="G179" i="2"/>
  <c r="G178" i="2"/>
  <c r="G177" i="2"/>
  <c r="G176" i="2"/>
  <c r="F181" i="2"/>
  <c r="F180" i="2"/>
  <c r="F179" i="2"/>
  <c r="F178" i="2"/>
  <c r="F177" i="2"/>
  <c r="F176" i="2"/>
  <c r="D177" i="2"/>
  <c r="D181" i="2"/>
  <c r="D180" i="2"/>
  <c r="D178" i="2"/>
  <c r="D176" i="2"/>
  <c r="O42" i="9" l="1"/>
  <c r="Q42" i="9" s="1"/>
  <c r="U42" i="9" s="1"/>
  <c r="O43" i="9"/>
  <c r="Q43" i="9" s="1"/>
  <c r="U43" i="9" s="1"/>
  <c r="O39" i="9"/>
  <c r="Q39" i="9" s="1"/>
  <c r="U39" i="9" s="1"/>
  <c r="O41" i="9"/>
  <c r="Q41" i="9" s="1"/>
  <c r="U41" i="9" s="1"/>
  <c r="O40" i="9"/>
  <c r="Q40" i="9" s="1"/>
  <c r="U40" i="9" s="1"/>
  <c r="Q44" i="9"/>
  <c r="U44" i="9" s="1"/>
  <c r="M51" i="9"/>
  <c r="M52" i="9" s="1"/>
  <c r="F24" i="9"/>
  <c r="F15" i="9"/>
  <c r="AE56" i="9" l="1"/>
  <c r="R40" i="9"/>
  <c r="C122" i="9" s="1"/>
  <c r="R41" i="9"/>
  <c r="AE57" i="9"/>
  <c r="R39" i="9"/>
  <c r="C121" i="9" s="1"/>
  <c r="AE55" i="9"/>
  <c r="R42" i="9"/>
  <c r="S42" i="9" s="1"/>
  <c r="AE58" i="9"/>
  <c r="R43" i="9"/>
  <c r="AE59" i="9"/>
  <c r="R44" i="9"/>
  <c r="S44" i="9" s="1"/>
  <c r="AE60" i="9"/>
  <c r="F14" i="9"/>
  <c r="C123" i="9" l="1"/>
  <c r="S43" i="9"/>
  <c r="S41" i="9"/>
  <c r="C124" i="9"/>
  <c r="S40" i="9"/>
  <c r="S39" i="9"/>
  <c r="I86" i="3"/>
  <c r="J86" i="3" s="1"/>
  <c r="L10" i="9" l="1"/>
  <c r="L8" i="9"/>
  <c r="L7" i="9"/>
  <c r="L6" i="9"/>
  <c r="L23" i="9"/>
  <c r="L24" i="9"/>
  <c r="L21" i="9"/>
  <c r="L18" i="9"/>
  <c r="L17" i="9"/>
  <c r="L16" i="9"/>
  <c r="L14" i="9"/>
  <c r="L13" i="9"/>
  <c r="L12" i="9"/>
  <c r="L205" i="2"/>
  <c r="L200" i="2"/>
  <c r="L195" i="2"/>
  <c r="L188" i="2"/>
  <c r="L182" i="2"/>
  <c r="L173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47" i="3" l="1"/>
  <c r="F95" i="3"/>
  <c r="G95" i="3" s="1"/>
  <c r="F96" i="3"/>
  <c r="G96" i="3" s="1"/>
  <c r="F97" i="3"/>
  <c r="G97" i="3" s="1"/>
  <c r="F98" i="3"/>
  <c r="G98" i="3" s="1"/>
  <c r="K72" i="3"/>
  <c r="F99" i="3"/>
  <c r="G99" i="3" s="1"/>
  <c r="G53" i="3"/>
  <c r="N72" i="3"/>
  <c r="H72" i="3"/>
  <c r="G52" i="3"/>
  <c r="E72" i="3"/>
  <c r="F52" i="3"/>
  <c r="N59" i="3"/>
  <c r="F72" i="3"/>
  <c r="I72" i="3"/>
  <c r="G54" i="3"/>
  <c r="F50" i="3"/>
  <c r="G49" i="3"/>
  <c r="F49" i="3"/>
  <c r="L72" i="3"/>
  <c r="G72" i="3"/>
  <c r="F51" i="3"/>
  <c r="G48" i="3"/>
  <c r="F54" i="3"/>
  <c r="F53" i="3"/>
  <c r="G50" i="3"/>
  <c r="F48" i="3"/>
  <c r="M72" i="3"/>
  <c r="G51" i="3"/>
  <c r="G47" i="3"/>
  <c r="H12" i="1"/>
  <c r="R39" i="1" s="1"/>
  <c r="H14" i="1"/>
  <c r="D45" i="3"/>
  <c r="E45" i="3"/>
  <c r="F45" i="3"/>
  <c r="G45" i="3"/>
  <c r="H45" i="3"/>
  <c r="I45" i="3"/>
  <c r="J45" i="3"/>
  <c r="K45" i="3"/>
  <c r="L45" i="3"/>
  <c r="M45" i="3"/>
  <c r="N45" i="3"/>
  <c r="F46" i="3"/>
  <c r="G46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60" i="3"/>
  <c r="N61" i="3"/>
  <c r="N62" i="3"/>
  <c r="N63" i="3"/>
  <c r="N64" i="3"/>
  <c r="N65" i="3"/>
  <c r="N66" i="3"/>
  <c r="N67" i="3"/>
  <c r="N68" i="3"/>
  <c r="N69" i="3"/>
  <c r="N70" i="3"/>
  <c r="N71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L46" i="3"/>
  <c r="S20" i="3" s="1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I46" i="3"/>
  <c r="S17" i="3" s="1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K46" i="3"/>
  <c r="S19" i="3" s="1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B132" i="2"/>
  <c r="D132" i="2"/>
  <c r="B133" i="2"/>
  <c r="D133" i="2"/>
  <c r="B134" i="2"/>
  <c r="D134" i="2"/>
  <c r="B135" i="2"/>
  <c r="D135" i="2"/>
  <c r="B136" i="2"/>
  <c r="D136" i="2"/>
  <c r="B137" i="2"/>
  <c r="D137" i="2"/>
  <c r="B138" i="2"/>
  <c r="D138" i="2"/>
  <c r="B139" i="2"/>
  <c r="D139" i="2"/>
  <c r="B140" i="2"/>
  <c r="D140" i="2"/>
  <c r="B141" i="2"/>
  <c r="D141" i="2"/>
  <c r="B142" i="2"/>
  <c r="D142" i="2"/>
  <c r="B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B158" i="2"/>
  <c r="D158" i="2"/>
  <c r="B159" i="2"/>
  <c r="D159" i="2"/>
  <c r="B160" i="2"/>
  <c r="D160" i="2"/>
  <c r="B161" i="2"/>
  <c r="D161" i="2"/>
  <c r="B162" i="2"/>
  <c r="D162" i="2"/>
  <c r="B163" i="2"/>
  <c r="D163" i="2"/>
  <c r="B164" i="2"/>
  <c r="D164" i="2"/>
  <c r="B165" i="2"/>
  <c r="D165" i="2"/>
  <c r="B166" i="2"/>
  <c r="D166" i="2"/>
  <c r="B167" i="2"/>
  <c r="D167" i="2"/>
  <c r="B168" i="2"/>
  <c r="D168" i="2"/>
  <c r="B169" i="2"/>
  <c r="D169" i="2"/>
  <c r="B170" i="2"/>
  <c r="C170" i="2"/>
  <c r="D170" i="2"/>
  <c r="M68" i="9" l="1"/>
  <c r="O68" i="9" s="1"/>
  <c r="J13" i="3"/>
  <c r="K13" i="3" s="1"/>
  <c r="S16" i="3"/>
  <c r="F88" i="3"/>
  <c r="F4" i="3"/>
  <c r="F94" i="3"/>
  <c r="H94" i="3" s="1"/>
  <c r="C46" i="3"/>
  <c r="J66" i="3"/>
  <c r="J58" i="3"/>
  <c r="B71" i="3"/>
  <c r="B46" i="3"/>
  <c r="J65" i="3"/>
  <c r="J57" i="3"/>
  <c r="D70" i="3"/>
  <c r="J72" i="3"/>
  <c r="J64" i="3"/>
  <c r="J56" i="3"/>
  <c r="B52" i="3"/>
  <c r="J63" i="3"/>
  <c r="J55" i="3"/>
  <c r="D64" i="3"/>
  <c r="C58" i="3"/>
  <c r="D51" i="3"/>
  <c r="J62" i="3"/>
  <c r="J54" i="3"/>
  <c r="B58" i="3"/>
  <c r="C51" i="3"/>
  <c r="J61" i="3"/>
  <c r="J53" i="3"/>
  <c r="C70" i="3"/>
  <c r="C69" i="3"/>
  <c r="D62" i="3"/>
  <c r="D57" i="3"/>
  <c r="B51" i="3"/>
  <c r="J60" i="3"/>
  <c r="J52" i="3"/>
  <c r="B69" i="3"/>
  <c r="C57" i="3"/>
  <c r="D50" i="3"/>
  <c r="J59" i="3"/>
  <c r="J51" i="3"/>
  <c r="C71" i="3"/>
  <c r="D58" i="3"/>
  <c r="C62" i="3"/>
  <c r="D68" i="3"/>
  <c r="B62" i="3"/>
  <c r="B57" i="3"/>
  <c r="C50" i="3"/>
  <c r="J50" i="3"/>
  <c r="B70" i="3"/>
  <c r="C68" i="3"/>
  <c r="D61" i="3"/>
  <c r="F85" i="3" s="1"/>
  <c r="F84" i="3" s="1"/>
  <c r="D56" i="3"/>
  <c r="B50" i="3"/>
  <c r="J49" i="3"/>
  <c r="B64" i="3"/>
  <c r="B68" i="3"/>
  <c r="C61" i="3"/>
  <c r="C56" i="3"/>
  <c r="D49" i="3"/>
  <c r="J48" i="3"/>
  <c r="F7" i="3"/>
  <c r="B56" i="3"/>
  <c r="C49" i="3"/>
  <c r="J47" i="3"/>
  <c r="C63" i="3"/>
  <c r="C72" i="3"/>
  <c r="C67" i="3"/>
  <c r="D60" i="3"/>
  <c r="D55" i="3"/>
  <c r="B49" i="3"/>
  <c r="J46" i="3"/>
  <c r="S18" i="3" s="1"/>
  <c r="D69" i="3"/>
  <c r="B67" i="3"/>
  <c r="C60" i="3"/>
  <c r="C55" i="3"/>
  <c r="D48" i="3"/>
  <c r="B53" i="3"/>
  <c r="B55" i="3"/>
  <c r="C48" i="3"/>
  <c r="C52" i="3"/>
  <c r="B61" i="3"/>
  <c r="C66" i="3"/>
  <c r="D59" i="3"/>
  <c r="T14" i="3" s="1"/>
  <c r="D54" i="3"/>
  <c r="B48" i="3"/>
  <c r="J71" i="3"/>
  <c r="D63" i="3"/>
  <c r="B66" i="3"/>
  <c r="C59" i="3"/>
  <c r="C54" i="3"/>
  <c r="D47" i="3"/>
  <c r="J70" i="3"/>
  <c r="B63" i="3"/>
  <c r="D72" i="3"/>
  <c r="D67" i="3"/>
  <c r="D66" i="3"/>
  <c r="B59" i="3"/>
  <c r="B54" i="3"/>
  <c r="C47" i="3"/>
  <c r="J69" i="3"/>
  <c r="D52" i="3"/>
  <c r="B60" i="3"/>
  <c r="C65" i="3"/>
  <c r="D53" i="3"/>
  <c r="B47" i="3"/>
  <c r="J68" i="3"/>
  <c r="C64" i="3"/>
  <c r="B72" i="3"/>
  <c r="D65" i="3"/>
  <c r="D71" i="3"/>
  <c r="B65" i="3"/>
  <c r="C53" i="3"/>
  <c r="D46" i="3"/>
  <c r="S14" i="3" s="1"/>
  <c r="J67" i="3"/>
  <c r="J14" i="1"/>
  <c r="F8" i="3"/>
  <c r="O38" i="9"/>
  <c r="Q38" i="9" s="1"/>
  <c r="U38" i="9" s="1"/>
  <c r="J16" i="3"/>
  <c r="M70" i="9"/>
  <c r="O70" i="9" s="1"/>
  <c r="J14" i="3"/>
  <c r="M66" i="9"/>
  <c r="O66" i="9" s="1"/>
  <c r="J17" i="3"/>
  <c r="M67" i="9"/>
  <c r="F89" i="3"/>
  <c r="F5" i="3"/>
  <c r="F90" i="3"/>
  <c r="F92" i="3"/>
  <c r="F75" i="3"/>
  <c r="F12" i="3"/>
  <c r="F11" i="3"/>
  <c r="F9" i="3"/>
  <c r="F10" i="3"/>
  <c r="E6" i="3"/>
  <c r="L13" i="3" l="1"/>
  <c r="J15" i="3"/>
  <c r="K15" i="3" s="1"/>
  <c r="O36" i="9"/>
  <c r="Q36" i="9" s="1"/>
  <c r="F80" i="3"/>
  <c r="F76" i="3"/>
  <c r="M69" i="9"/>
  <c r="O69" i="9" s="1"/>
  <c r="F77" i="3"/>
  <c r="F91" i="3"/>
  <c r="F87" i="3" s="1"/>
  <c r="F81" i="3" s="1"/>
  <c r="F6" i="3"/>
  <c r="M13" i="3"/>
  <c r="E4" i="3"/>
  <c r="Q67" i="9"/>
  <c r="S67" i="9" s="1"/>
  <c r="O67" i="9"/>
  <c r="Q37" i="9"/>
  <c r="AE54" i="9"/>
  <c r="L16" i="3"/>
  <c r="K16" i="3"/>
  <c r="K14" i="3"/>
  <c r="L14" i="3"/>
  <c r="K17" i="3"/>
  <c r="L17" i="3"/>
  <c r="R38" i="9"/>
  <c r="L25" i="9"/>
  <c r="E19" i="3"/>
  <c r="E14" i="3"/>
  <c r="E17" i="3"/>
  <c r="E15" i="3"/>
  <c r="E16" i="3"/>
  <c r="E18" i="3"/>
  <c r="I41" i="1"/>
  <c r="I49" i="1"/>
  <c r="L15" i="3" l="1"/>
  <c r="R36" i="9"/>
  <c r="Q35" i="9"/>
  <c r="Q45" i="9" s="1"/>
  <c r="F82" i="3"/>
  <c r="S38" i="9"/>
  <c r="R37" i="9"/>
  <c r="F38" i="9"/>
  <c r="AE38" i="9" s="1"/>
  <c r="F34" i="9"/>
  <c r="AE34" i="9" s="1"/>
  <c r="F48" i="9"/>
  <c r="AE48" i="9" s="1"/>
  <c r="F40" i="9"/>
  <c r="AE40" i="9" s="1"/>
  <c r="F35" i="9"/>
  <c r="AE35" i="9" s="1"/>
  <c r="F49" i="9"/>
  <c r="AE49" i="9" s="1"/>
  <c r="F37" i="9"/>
  <c r="AE37" i="9" s="1"/>
  <c r="F36" i="9"/>
  <c r="AE36" i="9" s="1"/>
  <c r="F47" i="9"/>
  <c r="AE47" i="9" s="1"/>
  <c r="F45" i="9"/>
  <c r="AE45" i="9" s="1"/>
  <c r="F43" i="9"/>
  <c r="AE43" i="9" s="1"/>
  <c r="F66" i="9"/>
  <c r="F42" i="9"/>
  <c r="AE42" i="9" s="1"/>
  <c r="F39" i="9"/>
  <c r="AE39" i="9" s="1"/>
  <c r="F44" i="9"/>
  <c r="AE44" i="9" s="1"/>
  <c r="F41" i="9"/>
  <c r="AE41" i="9" s="1"/>
  <c r="F46" i="9"/>
  <c r="AE46" i="9" s="1"/>
  <c r="E13" i="3"/>
  <c r="H42" i="1"/>
  <c r="C120" i="9" l="1"/>
  <c r="S36" i="9"/>
  <c r="R35" i="9"/>
  <c r="F52" i="9" s="1"/>
  <c r="AE52" i="9" s="1"/>
  <c r="F53" i="9"/>
  <c r="S37" i="9"/>
  <c r="M48" i="9"/>
  <c r="H46" i="1"/>
  <c r="I42" i="1"/>
  <c r="H44" i="1"/>
  <c r="R41" i="1" s="1"/>
  <c r="H45" i="1"/>
  <c r="H47" i="1"/>
  <c r="H48" i="1"/>
  <c r="H43" i="1"/>
  <c r="R40" i="1" s="1"/>
  <c r="H50" i="1"/>
  <c r="S35" i="9" l="1"/>
  <c r="R45" i="9"/>
  <c r="S45" i="9" s="1"/>
  <c r="M57" i="9"/>
  <c r="F61" i="9" s="1"/>
  <c r="M53" i="9"/>
  <c r="M56" i="9" s="1"/>
  <c r="C118" i="9" s="1"/>
  <c r="F51" i="9"/>
  <c r="AE51" i="9" s="1"/>
  <c r="AE53" i="9"/>
  <c r="I43" i="1"/>
  <c r="I47" i="1"/>
  <c r="R44" i="1"/>
  <c r="I50" i="1"/>
  <c r="I48" i="1"/>
  <c r="R45" i="1"/>
  <c r="I45" i="1"/>
  <c r="R42" i="1"/>
  <c r="I44" i="1"/>
  <c r="H51" i="1"/>
  <c r="H56" i="1" s="1"/>
  <c r="I46" i="1"/>
  <c r="R43" i="1"/>
  <c r="C107" i="1"/>
  <c r="C108" i="1"/>
  <c r="C109" i="1"/>
  <c r="G14" i="1"/>
  <c r="G12" i="1"/>
  <c r="F14" i="1"/>
  <c r="F12" i="1"/>
  <c r="F42" i="1" s="1"/>
  <c r="E14" i="1"/>
  <c r="E12" i="1"/>
  <c r="E42" i="1" s="1"/>
  <c r="F37" i="1"/>
  <c r="E37" i="1"/>
  <c r="D37" i="1"/>
  <c r="C65" i="1"/>
  <c r="D14" i="1"/>
  <c r="D12" i="1"/>
  <c r="N39" i="1" s="1"/>
  <c r="F60" i="9" l="1"/>
  <c r="AE62" i="9" s="1"/>
  <c r="F50" i="9"/>
  <c r="F86" i="9"/>
  <c r="F92" i="9"/>
  <c r="F87" i="9"/>
  <c r="F88" i="9"/>
  <c r="F90" i="9"/>
  <c r="F91" i="9"/>
  <c r="F89" i="9"/>
  <c r="H62" i="1"/>
  <c r="H64" i="1"/>
  <c r="H60" i="1"/>
  <c r="H61" i="1"/>
  <c r="H58" i="1"/>
  <c r="R46" i="1"/>
  <c r="R47" i="1" s="1"/>
  <c r="H40" i="1" s="1"/>
  <c r="I40" i="1" s="1"/>
  <c r="H57" i="1"/>
  <c r="G42" i="1"/>
  <c r="Q39" i="1"/>
  <c r="H59" i="1"/>
  <c r="O39" i="1"/>
  <c r="C114" i="1"/>
  <c r="P39" i="1"/>
  <c r="D42" i="1"/>
  <c r="G48" i="1" s="1"/>
  <c r="E80" i="18" l="1"/>
  <c r="E74" i="18" s="1"/>
  <c r="M61" i="9"/>
  <c r="M62" i="9" s="1"/>
  <c r="AE50" i="9"/>
  <c r="F93" i="9"/>
  <c r="F48" i="1"/>
  <c r="P45" i="1" s="1"/>
  <c r="G44" i="1"/>
  <c r="Q41" i="1" s="1"/>
  <c r="E46" i="1"/>
  <c r="O43" i="1" s="1"/>
  <c r="E48" i="1"/>
  <c r="O45" i="1" s="1"/>
  <c r="F46" i="1"/>
  <c r="P43" i="1" s="1"/>
  <c r="E44" i="1"/>
  <c r="O41" i="1" s="1"/>
  <c r="D47" i="1"/>
  <c r="N44" i="1" s="1"/>
  <c r="F43" i="1"/>
  <c r="P40" i="1" s="1"/>
  <c r="Q45" i="1"/>
  <c r="G43" i="1"/>
  <c r="G47" i="1"/>
  <c r="F45" i="1"/>
  <c r="E43" i="1"/>
  <c r="G46" i="1"/>
  <c r="F44" i="1"/>
  <c r="E47" i="1"/>
  <c r="F47" i="1"/>
  <c r="E45" i="1"/>
  <c r="G45" i="1"/>
  <c r="D46" i="1"/>
  <c r="D45" i="1"/>
  <c r="D44" i="1"/>
  <c r="D43" i="1"/>
  <c r="D48" i="1"/>
  <c r="E65" i="18" l="1"/>
  <c r="E81" i="18"/>
  <c r="E82" i="18" s="1"/>
  <c r="M60" i="9"/>
  <c r="M58" i="9" s="1"/>
  <c r="M59" i="9" s="1"/>
  <c r="AE63" i="9"/>
  <c r="F76" i="9"/>
  <c r="F77" i="9"/>
  <c r="D103" i="9"/>
  <c r="F75" i="9"/>
  <c r="F74" i="9"/>
  <c r="F64" i="9"/>
  <c r="F65" i="9"/>
  <c r="C117" i="9" s="1"/>
  <c r="K66" i="9"/>
  <c r="K70" i="9" s="1"/>
  <c r="K69" i="9" s="1"/>
  <c r="H54" i="1"/>
  <c r="H65" i="1" s="1"/>
  <c r="N43" i="1"/>
  <c r="Q42" i="1"/>
  <c r="P42" i="1"/>
  <c r="Q44" i="1"/>
  <c r="N40" i="1"/>
  <c r="O40" i="1"/>
  <c r="O42" i="1"/>
  <c r="P44" i="1"/>
  <c r="O44" i="1"/>
  <c r="N41" i="1"/>
  <c r="P41" i="1"/>
  <c r="N45" i="1"/>
  <c r="Q40" i="1"/>
  <c r="N42" i="1"/>
  <c r="Q43" i="1"/>
  <c r="E71" i="18" l="1"/>
  <c r="E100" i="18"/>
  <c r="E89" i="18"/>
  <c r="F63" i="9"/>
  <c r="Q70" i="9"/>
  <c r="S70" i="9" s="1"/>
  <c r="B119" i="9"/>
  <c r="B120" i="9"/>
  <c r="B123" i="9"/>
  <c r="B118" i="9"/>
  <c r="B122" i="9"/>
  <c r="B124" i="9"/>
  <c r="B121" i="9"/>
  <c r="Q66" i="9"/>
  <c r="F70" i="9" s="1"/>
  <c r="K68" i="9"/>
  <c r="Q68" i="9" s="1"/>
  <c r="S68" i="9" s="1"/>
  <c r="F62" i="9"/>
  <c r="P46" i="1"/>
  <c r="P47" i="1" s="1"/>
  <c r="F40" i="1" s="1"/>
  <c r="F51" i="1" s="1"/>
  <c r="F54" i="1" s="1"/>
  <c r="N46" i="1"/>
  <c r="N47" i="1" s="1"/>
  <c r="D40" i="1" s="1"/>
  <c r="D51" i="1" s="1"/>
  <c r="O46" i="1"/>
  <c r="O47" i="1" s="1"/>
  <c r="E40" i="1" s="1"/>
  <c r="Q46" i="1"/>
  <c r="F68" i="9" l="1"/>
  <c r="E109" i="18"/>
  <c r="E110" i="18"/>
  <c r="E129" i="18"/>
  <c r="E130" i="18"/>
  <c r="E131" i="18"/>
  <c r="E127" i="18"/>
  <c r="E124" i="18"/>
  <c r="E128" i="18"/>
  <c r="E123" i="18"/>
  <c r="E122" i="18"/>
  <c r="E125" i="18"/>
  <c r="E114" i="18"/>
  <c r="E115" i="18"/>
  <c r="E116" i="18"/>
  <c r="E113" i="18"/>
  <c r="E117" i="18"/>
  <c r="E111" i="18"/>
  <c r="E112" i="18"/>
  <c r="E79" i="18"/>
  <c r="E77" i="18" s="1"/>
  <c r="E126" i="18" s="1"/>
  <c r="S66" i="9"/>
  <c r="F69" i="9"/>
  <c r="F78" i="9"/>
  <c r="C125" i="9"/>
  <c r="Q69" i="9"/>
  <c r="Q47" i="1"/>
  <c r="G40" i="1" s="1"/>
  <c r="D59" i="1"/>
  <c r="E51" i="1"/>
  <c r="G51" i="1"/>
  <c r="F56" i="1"/>
  <c r="F60" i="1"/>
  <c r="F57" i="1"/>
  <c r="F62" i="1"/>
  <c r="F61" i="1"/>
  <c r="F59" i="1"/>
  <c r="F58" i="1"/>
  <c r="E78" i="18" l="1"/>
  <c r="B125" i="9"/>
  <c r="C126" i="9"/>
  <c r="B126" i="9" s="1"/>
  <c r="F67" i="9"/>
  <c r="S69" i="9"/>
  <c r="G54" i="1"/>
  <c r="Q48" i="1"/>
  <c r="S42" i="1" s="1"/>
  <c r="D58" i="1"/>
  <c r="D57" i="1"/>
  <c r="D54" i="1"/>
  <c r="D62" i="1"/>
  <c r="F65" i="1"/>
  <c r="D60" i="1"/>
  <c r="D61" i="1"/>
  <c r="D56" i="1"/>
  <c r="G56" i="1"/>
  <c r="G62" i="1"/>
  <c r="G58" i="1"/>
  <c r="G57" i="1"/>
  <c r="G59" i="1"/>
  <c r="G61" i="1"/>
  <c r="G60" i="1"/>
  <c r="E56" i="1"/>
  <c r="E60" i="1"/>
  <c r="E58" i="1"/>
  <c r="E62" i="1"/>
  <c r="E57" i="1"/>
  <c r="E61" i="1"/>
  <c r="E59" i="1"/>
  <c r="E54" i="1"/>
  <c r="C19" i="1"/>
  <c r="C20" i="1" s="1"/>
  <c r="C16" i="1"/>
  <c r="C17" i="1" s="1"/>
  <c r="C10" i="1"/>
  <c r="C12" i="1" s="1"/>
  <c r="C42" i="1" s="1"/>
  <c r="S46" i="1" l="1"/>
  <c r="S40" i="1"/>
  <c r="S45" i="1"/>
  <c r="S39" i="1"/>
  <c r="S41" i="1"/>
  <c r="S43" i="1"/>
  <c r="S44" i="1"/>
  <c r="S65" i="9"/>
  <c r="R59" i="9" s="1"/>
  <c r="C45" i="1"/>
  <c r="C49" i="1"/>
  <c r="C81" i="1" s="1"/>
  <c r="C74" i="1"/>
  <c r="C44" i="1"/>
  <c r="C76" i="1" s="1"/>
  <c r="C41" i="1"/>
  <c r="C73" i="1" s="1"/>
  <c r="C40" i="1"/>
  <c r="G65" i="1"/>
  <c r="D65" i="1"/>
  <c r="E65" i="1"/>
  <c r="S47" i="1" l="1"/>
  <c r="R58" i="9"/>
  <c r="R62" i="9"/>
  <c r="R61" i="9"/>
  <c r="R60" i="9"/>
  <c r="C51" i="1"/>
  <c r="C72" i="1"/>
  <c r="C82" i="1" s="1"/>
  <c r="C94" i="1" l="1"/>
  <c r="C95" i="1"/>
  <c r="C96" i="1"/>
  <c r="C91" i="1"/>
  <c r="C100" i="1"/>
  <c r="C92" i="1"/>
  <c r="C93" i="1"/>
  <c r="C101" i="1" l="1"/>
</calcChain>
</file>

<file path=xl/sharedStrings.xml><?xml version="1.0" encoding="utf-8"?>
<sst xmlns="http://schemas.openxmlformats.org/spreadsheetml/2006/main" count="2770" uniqueCount="957">
  <si>
    <t>SABIC</t>
    <phoneticPr fontId="5" type="noConversion"/>
  </si>
  <si>
    <t>-</t>
    <phoneticPr fontId="5" type="noConversion"/>
  </si>
  <si>
    <t>Reference</t>
    <phoneticPr fontId="5" type="noConversion"/>
  </si>
  <si>
    <t>PCT/US2018/012064</t>
    <phoneticPr fontId="5" type="noConversion"/>
  </si>
  <si>
    <t xml:space="preserve">Preheating </t>
    <phoneticPr fontId="5" type="noConversion"/>
  </si>
  <si>
    <t>CH4 pyrolysis</t>
    <phoneticPr fontId="5" type="noConversion"/>
  </si>
  <si>
    <t>CH4 feed (mol/h)</t>
    <phoneticPr fontId="5" type="noConversion"/>
  </si>
  <si>
    <t>lb</t>
    <phoneticPr fontId="5" type="noConversion"/>
  </si>
  <si>
    <t>g</t>
    <phoneticPr fontId="5" type="noConversion"/>
  </si>
  <si>
    <t>CH4 feed (lb/h)</t>
    <phoneticPr fontId="5" type="noConversion"/>
  </si>
  <si>
    <t>CH4 feed (g/h)</t>
    <phoneticPr fontId="5" type="noConversion"/>
  </si>
  <si>
    <t>CH4 fuel (lb/h)</t>
    <phoneticPr fontId="5" type="noConversion"/>
  </si>
  <si>
    <t>Pure O2 (lb/h)</t>
    <phoneticPr fontId="5" type="noConversion"/>
  </si>
  <si>
    <t>O2 stoichometry (%)</t>
    <phoneticPr fontId="5" type="noConversion"/>
  </si>
  <si>
    <t>CH4 fuel (g/h)</t>
    <phoneticPr fontId="5" type="noConversion"/>
  </si>
  <si>
    <t>CH4 fuel (mol/h)</t>
    <phoneticPr fontId="5" type="noConversion"/>
  </si>
  <si>
    <t>O2 fuel (g/h)</t>
    <phoneticPr fontId="5" type="noConversion"/>
  </si>
  <si>
    <t>O2 fuel (mol/h)</t>
    <phoneticPr fontId="5" type="noConversion"/>
  </si>
  <si>
    <r>
      <t>Temp (</t>
    </r>
    <r>
      <rPr>
        <vertAlign val="superscript"/>
        <sz val="11"/>
        <color rgb="FF0000CC"/>
        <rFont val="Calibri"/>
        <family val="2"/>
      </rPr>
      <t>o</t>
    </r>
    <r>
      <rPr>
        <sz val="11"/>
        <color rgb="FF0000CC"/>
        <rFont val="Calibri"/>
        <family val="2"/>
      </rPr>
      <t>C)</t>
    </r>
    <phoneticPr fontId="5" type="noConversion"/>
  </si>
  <si>
    <r>
      <t>Temp (</t>
    </r>
    <r>
      <rPr>
        <vertAlign val="superscript"/>
        <sz val="11"/>
        <color rgb="FF0000CC"/>
        <rFont val="Calibri"/>
        <family val="2"/>
      </rPr>
      <t>o</t>
    </r>
    <r>
      <rPr>
        <sz val="11"/>
        <color rgb="FF0000CC"/>
        <rFont val="Calibri"/>
        <family val="2"/>
      </rPr>
      <t>C)</t>
    </r>
    <phoneticPr fontId="5" type="noConversion"/>
  </si>
  <si>
    <t>H2</t>
    <phoneticPr fontId="5" type="noConversion"/>
  </si>
  <si>
    <t>CO2</t>
    <phoneticPr fontId="5" type="noConversion"/>
  </si>
  <si>
    <t>CH4</t>
    <phoneticPr fontId="5" type="noConversion"/>
  </si>
  <si>
    <t>C2H4</t>
    <phoneticPr fontId="5" type="noConversion"/>
  </si>
  <si>
    <t>C2H2</t>
    <phoneticPr fontId="5" type="noConversion"/>
  </si>
  <si>
    <t>Total</t>
    <phoneticPr fontId="5" type="noConversion"/>
  </si>
  <si>
    <t>CH4 feed (ml/min)</t>
    <phoneticPr fontId="5" type="noConversion"/>
  </si>
  <si>
    <t>H2 feed (ml/min)</t>
    <phoneticPr fontId="5" type="noConversion"/>
  </si>
  <si>
    <t>H2 feed (mol/h)</t>
    <phoneticPr fontId="5" type="noConversion"/>
  </si>
  <si>
    <t>Product composition (C%)</t>
    <phoneticPr fontId="5" type="noConversion"/>
  </si>
  <si>
    <t>C2H6</t>
    <phoneticPr fontId="5" type="noConversion"/>
  </si>
  <si>
    <t>C3-C5</t>
    <phoneticPr fontId="5" type="noConversion"/>
  </si>
  <si>
    <t>Benzene</t>
    <phoneticPr fontId="5" type="noConversion"/>
  </si>
  <si>
    <t>Naphthalene</t>
    <phoneticPr fontId="5" type="noConversion"/>
  </si>
  <si>
    <t>Methane conversion (%)</t>
    <phoneticPr fontId="5" type="noConversion"/>
  </si>
  <si>
    <t>CH4</t>
    <phoneticPr fontId="5" type="noConversion"/>
  </si>
  <si>
    <t>H2</t>
    <phoneticPr fontId="5" type="noConversion"/>
  </si>
  <si>
    <t>C2H6</t>
    <phoneticPr fontId="5" type="noConversion"/>
  </si>
  <si>
    <t>Hydrogen in hydrocarbon</t>
    <phoneticPr fontId="5" type="noConversion"/>
  </si>
  <si>
    <t>Produced hydrogen</t>
    <phoneticPr fontId="5" type="noConversion"/>
  </si>
  <si>
    <t>C3-C5</t>
    <phoneticPr fontId="5" type="noConversion"/>
  </si>
  <si>
    <t>Benzene</t>
    <phoneticPr fontId="5" type="noConversion"/>
  </si>
  <si>
    <t>Naphthalene</t>
    <phoneticPr fontId="5" type="noConversion"/>
  </si>
  <si>
    <t>Total</t>
    <phoneticPr fontId="5" type="noConversion"/>
  </si>
  <si>
    <t>1 CASE</t>
    <phoneticPr fontId="5" type="noConversion"/>
  </si>
  <si>
    <t>2 CASE</t>
    <phoneticPr fontId="5" type="noConversion"/>
  </si>
  <si>
    <t>3 CASE</t>
    <phoneticPr fontId="5" type="noConversion"/>
  </si>
  <si>
    <t>4 CASE</t>
    <phoneticPr fontId="5" type="noConversion"/>
  </si>
  <si>
    <t>KRICT (5.8%)</t>
    <phoneticPr fontId="5" type="noConversion"/>
  </si>
  <si>
    <t>KRICT (10%)</t>
    <phoneticPr fontId="5" type="noConversion"/>
  </si>
  <si>
    <t>KRICT (20%)</t>
    <phoneticPr fontId="5" type="noConversion"/>
  </si>
  <si>
    <t>KRICT (30%)</t>
    <phoneticPr fontId="5" type="noConversion"/>
  </si>
  <si>
    <t>Duty (Mbtu/h)</t>
    <phoneticPr fontId="5" type="noConversion"/>
  </si>
  <si>
    <t>CO</t>
    <phoneticPr fontId="5" type="noConversion"/>
  </si>
  <si>
    <t>Coolant quenching</t>
    <phoneticPr fontId="5" type="noConversion"/>
  </si>
  <si>
    <t>Liquid phase hydrogenation</t>
    <phoneticPr fontId="5" type="noConversion"/>
  </si>
  <si>
    <t>Press (psig)</t>
    <phoneticPr fontId="5" type="noConversion"/>
  </si>
  <si>
    <t>n-methyl-2-pyrrolidone (NMP)</t>
    <phoneticPr fontId="5" type="noConversion"/>
  </si>
  <si>
    <r>
      <t xml:space="preserve">Effluent composition (vol%) </t>
    </r>
    <r>
      <rPr>
        <b/>
        <sz val="11"/>
        <color theme="1"/>
        <rFont val="Calibri"/>
        <family val="2"/>
      </rPr>
      <t>(1)</t>
    </r>
    <phoneticPr fontId="5" type="noConversion"/>
  </si>
  <si>
    <t>(1) gaseous flow rate (ml/min)</t>
    <phoneticPr fontId="5" type="noConversion"/>
  </si>
  <si>
    <r>
      <t xml:space="preserve">Product composition (mol/h) </t>
    </r>
    <r>
      <rPr>
        <b/>
        <sz val="11"/>
        <color theme="1"/>
        <rFont val="Calibri"/>
        <family val="2"/>
      </rPr>
      <t>(1)</t>
    </r>
    <phoneticPr fontId="5" type="noConversion"/>
  </si>
  <si>
    <t>H2</t>
    <phoneticPr fontId="5" type="noConversion"/>
  </si>
  <si>
    <t>CO2</t>
    <phoneticPr fontId="5" type="noConversion"/>
  </si>
  <si>
    <t>CO</t>
    <phoneticPr fontId="5" type="noConversion"/>
  </si>
  <si>
    <r>
      <t xml:space="preserve">Quenched product composition (mol/h) </t>
    </r>
    <r>
      <rPr>
        <b/>
        <sz val="11"/>
        <color theme="1"/>
        <rFont val="Calibri"/>
        <family val="2"/>
      </rPr>
      <t>(2)</t>
    </r>
    <phoneticPr fontId="5" type="noConversion"/>
  </si>
  <si>
    <r>
      <t xml:space="preserve">Effluent composition (vol%) </t>
    </r>
    <r>
      <rPr>
        <b/>
        <sz val="11"/>
        <color theme="1"/>
        <rFont val="Calibri"/>
        <family val="2"/>
      </rPr>
      <t>(3)</t>
    </r>
    <phoneticPr fontId="5" type="noConversion"/>
  </si>
  <si>
    <r>
      <t xml:space="preserve">Quenched product composition (mol/h) </t>
    </r>
    <r>
      <rPr>
        <b/>
        <sz val="11"/>
        <color theme="1"/>
        <rFont val="Calibri"/>
        <family val="2"/>
      </rPr>
      <t>(3)</t>
    </r>
    <phoneticPr fontId="5" type="noConversion"/>
  </si>
  <si>
    <t>US 7,919,431 B2</t>
    <phoneticPr fontId="5" type="noConversion"/>
  </si>
  <si>
    <t>Water</t>
    <phoneticPr fontId="5" type="noConversion"/>
  </si>
  <si>
    <t>1.5 wt% acetylene in Liquid NMP flow rate (ml/min)</t>
    <phoneticPr fontId="5" type="noConversion"/>
  </si>
  <si>
    <t>Coke</t>
    <phoneticPr fontId="5" type="noConversion"/>
  </si>
  <si>
    <t>KRICT (업데이트 실험결과)</t>
  </si>
  <si>
    <t>C</t>
    <phoneticPr fontId="5" type="noConversion"/>
  </si>
  <si>
    <t>C</t>
    <phoneticPr fontId="5" type="noConversion"/>
  </si>
  <si>
    <r>
      <t>KRICT (</t>
    </r>
    <r>
      <rPr>
        <sz val="11"/>
        <color rgb="FFFF0000"/>
        <rFont val="돋움"/>
        <family val="3"/>
        <charset val="129"/>
      </rPr>
      <t>업데이트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실험결과</t>
    </r>
    <r>
      <rPr>
        <sz val="11"/>
        <color rgb="FFFF0000"/>
        <rFont val="Calibri"/>
        <family val="2"/>
      </rPr>
      <t>)</t>
    </r>
    <phoneticPr fontId="5" type="noConversion"/>
  </si>
  <si>
    <t>-47 -&gt; 36</t>
  </si>
  <si>
    <t>Units</t>
  </si>
  <si>
    <t>Description</t>
  </si>
  <si>
    <t>From</t>
  </si>
  <si>
    <t>V4</t>
  </si>
  <si>
    <t>V5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</si>
  <si>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</si>
  <si>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</si>
  <si>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</si>
  <si>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</si>
  <si>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</si>
  <si>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</si>
  <si>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</si>
  <si>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</si>
  <si>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Vapor Phase</t>
  </si>
  <si>
    <t>Temperature</t>
  </si>
  <si>
    <t>C</t>
  </si>
  <si>
    <t>Pressure</t>
  </si>
  <si>
    <t>bar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</si>
  <si>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</si>
  <si>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</si>
  <si>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</si>
  <si>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</si>
  <si>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</si>
  <si>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</si>
  <si>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</si>
  <si>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kcal/mol</t>
  </si>
  <si>
    <t>Mass Enthalpy</t>
  </si>
  <si>
    <t>kcal/kg</t>
  </si>
  <si>
    <t>Molar Entropy</t>
  </si>
  <si>
    <t>cal/mol-K</t>
  </si>
  <si>
    <t>Mass Entropy</t>
  </si>
  <si>
    <t>cal/gm-K</t>
  </si>
  <si>
    <t>Molar Density</t>
  </si>
  <si>
    <t>kmol/cum</t>
  </si>
  <si>
    <t>Mass Density</t>
  </si>
  <si>
    <t>kg/cum</t>
  </si>
  <si>
    <t>Enthalpy Flow</t>
  </si>
  <si>
    <t>Gcal/hr</t>
  </si>
  <si>
    <t>Average MW</t>
  </si>
  <si>
    <t>Mole Flows</t>
  </si>
  <si>
    <t>kmol/hr</t>
  </si>
  <si>
    <t>Mole Fractions</t>
  </si>
  <si>
    <t>Mass Flows</t>
  </si>
  <si>
    <t>kg/hr</t>
  </si>
  <si>
    <t>Mass Fractions</t>
  </si>
  <si>
    <t>Volume Flow</t>
  </si>
  <si>
    <t>cum/hr</t>
  </si>
  <si>
    <t>Liquid Phase</t>
  </si>
  <si>
    <t>V3</t>
  </si>
  <si>
    <t>T2</t>
  </si>
  <si>
    <t>V2</t>
  </si>
  <si>
    <t>Conversion (%)</t>
  </si>
  <si>
    <t>Selectivity (%)</t>
  </si>
  <si>
    <t xml:space="preserve">Coke </t>
  </si>
  <si>
    <t>CH4</t>
  </si>
  <si>
    <t>H2</t>
  </si>
  <si>
    <t>C2H6</t>
  </si>
  <si>
    <t>C2H4</t>
  </si>
  <si>
    <t>C2H2</t>
  </si>
  <si>
    <t>BEN</t>
  </si>
  <si>
    <t>NAP</t>
  </si>
  <si>
    <t>1-CH4</t>
  </si>
  <si>
    <t>2-H2</t>
  </si>
  <si>
    <t>12-NAP</t>
  </si>
  <si>
    <t>M1</t>
  </si>
  <si>
    <t>HX1</t>
  </si>
  <si>
    <t>HX2</t>
  </si>
  <si>
    <t>E1</t>
  </si>
  <si>
    <t>R1</t>
  </si>
  <si>
    <t>E2</t>
  </si>
  <si>
    <t>C1</t>
  </si>
  <si>
    <t>E3</t>
  </si>
  <si>
    <t>V1</t>
  </si>
  <si>
    <t>C2</t>
  </si>
  <si>
    <t>E4</t>
  </si>
  <si>
    <t>HX3</t>
  </si>
  <si>
    <t>HX4</t>
  </si>
  <si>
    <t>T1</t>
  </si>
  <si>
    <t>HX5</t>
  </si>
  <si>
    <t>T3</t>
  </si>
  <si>
    <t>HX6</t>
  </si>
  <si>
    <t>M2</t>
  </si>
  <si>
    <t>VAL1</t>
  </si>
  <si>
    <t>M3</t>
  </si>
  <si>
    <t>M4</t>
  </si>
  <si>
    <t>M5</t>
  </si>
  <si>
    <t>E7</t>
  </si>
  <si>
    <t>R2</t>
  </si>
  <si>
    <t>C3-C5</t>
  </si>
  <si>
    <t>WATER</t>
  </si>
  <si>
    <t>O2</t>
  </si>
  <si>
    <t>CO2</t>
  </si>
  <si>
    <t>Stream information</t>
  </si>
  <si>
    <t>Process scheme</t>
  </si>
  <si>
    <t>HEATER</t>
  </si>
  <si>
    <t>RADFRAC</t>
  </si>
  <si>
    <t>Very low temperature</t>
  </si>
  <si>
    <t>$/kJ</t>
  </si>
  <si>
    <t>Block ID</t>
  </si>
  <si>
    <t>Block type</t>
  </si>
  <si>
    <t>Duty</t>
  </si>
  <si>
    <t>Usage</t>
  </si>
  <si>
    <t>Cost</t>
  </si>
  <si>
    <t>CO2 emission rate</t>
  </si>
  <si>
    <t>kW</t>
  </si>
  <si>
    <t>COMPR</t>
  </si>
  <si>
    <t>Electricity</t>
  </si>
  <si>
    <t>$/kWhr</t>
  </si>
  <si>
    <t>Cooling water</t>
  </si>
  <si>
    <t>HPS</t>
  </si>
  <si>
    <t>Fired heat</t>
  </si>
  <si>
    <t>LPS</t>
  </si>
  <si>
    <t>EXECUTIVE SUMMARY</t>
  </si>
  <si>
    <t>=================================================================================</t>
  </si>
  <si>
    <t>PROJECT NAME:</t>
  </si>
  <si>
    <t>20909C1</t>
  </si>
  <si>
    <t>CAPACITY:</t>
  </si>
  <si>
    <t>PLANT LOCATION:</t>
  </si>
  <si>
    <t>North America</t>
  </si>
  <si>
    <t>BRIEF DESCRIPTION:</t>
  </si>
  <si>
    <t>SCHEDULE:</t>
  </si>
  <si>
    <t>---------------------------------------------------------------------------------------</t>
  </si>
  <si>
    <t xml:space="preserve">  Start Date for Engineering</t>
  </si>
  <si>
    <t xml:space="preserve">  Duration of EPC Phase</t>
  </si>
  <si>
    <t>Weeks</t>
  </si>
  <si>
    <t xml:space="preserve">  Completion Date for Construction</t>
  </si>
  <si>
    <t xml:space="preserve">  Length of Start-up Period</t>
  </si>
  <si>
    <t>INVESTMENT:</t>
  </si>
  <si>
    <t xml:space="preserve">  Currency Conversion Rate</t>
  </si>
  <si>
    <t>USD/U.S. DOLLAR</t>
  </si>
  <si>
    <t xml:space="preserve">  Total Project Capital Cost</t>
  </si>
  <si>
    <t>USD</t>
  </si>
  <si>
    <t xml:space="preserve">  Total Operating Cost</t>
  </si>
  <si>
    <t>USD/Year</t>
  </si>
  <si>
    <t xml:space="preserve">  Total Raw Materials Cost</t>
  </si>
  <si>
    <t xml:space="preserve">  Total Utilities Cost</t>
  </si>
  <si>
    <t xml:space="preserve">  Total Product Sales</t>
  </si>
  <si>
    <t xml:space="preserve">  Desired Rate of Return</t>
  </si>
  <si>
    <t>Percent/'Year</t>
  </si>
  <si>
    <t xml:space="preserve">  P.O. Period</t>
  </si>
  <si>
    <t>Year</t>
  </si>
  <si>
    <t>PROJECT INFORMATION:</t>
  </si>
  <si>
    <t xml:space="preserve">  Simulator Type</t>
  </si>
  <si>
    <t>Aspen Plus</t>
  </si>
  <si>
    <t xml:space="preserve">      Version</t>
  </si>
  <si>
    <t xml:space="preserve">      Report File</t>
  </si>
  <si>
    <t xml:space="preserve">      Report Date</t>
  </si>
  <si>
    <t xml:space="preserve">  Economic Analysis Type</t>
  </si>
  <si>
    <t>IPE</t>
  </si>
  <si>
    <t>36.1.0</t>
  </si>
  <si>
    <t xml:space="preserve">      System Cost Base Date</t>
  </si>
  <si>
    <t>1Q 16</t>
  </si>
  <si>
    <t xml:space="preserve">      Project Directory</t>
  </si>
  <si>
    <t xml:space="preserve">      Analysis Date</t>
  </si>
  <si>
    <t xml:space="preserve">      Country Base</t>
  </si>
  <si>
    <t>US</t>
  </si>
  <si>
    <t xml:space="preserve">      Project Type</t>
  </si>
  <si>
    <t>Grass roots/Clear field</t>
  </si>
  <si>
    <t xml:space="preserve">      Design code</t>
  </si>
  <si>
    <t>ASME</t>
  </si>
  <si>
    <t xml:space="preserve">      Prepared By</t>
  </si>
  <si>
    <t>NOTES:-----------------------------------------------------</t>
  </si>
  <si>
    <t>PROJSUM.ICS     (Project Summary)</t>
  </si>
  <si>
    <t>ITEM</t>
  </si>
  <si>
    <t>UNITS</t>
  </si>
  <si>
    <t>VALUE</t>
  </si>
  <si>
    <t>************************************************************************</t>
  </si>
  <si>
    <t>PROJECT INFORMATION</t>
  </si>
  <si>
    <t xml:space="preserve">     Project Name</t>
  </si>
  <si>
    <t xml:space="preserve">     Project Description</t>
  </si>
  <si>
    <t xml:space="preserve">     Analysis Date and Time</t>
  </si>
  <si>
    <t xml:space="preserve">     Simulator Type</t>
  </si>
  <si>
    <t xml:space="preserve">     Simulator Version</t>
  </si>
  <si>
    <t xml:space="preserve">     Simulator Report File</t>
  </si>
  <si>
    <t xml:space="preserve">     Simulator Report Date</t>
  </si>
  <si>
    <t xml:space="preserve">     Economic Analysis Type</t>
  </si>
  <si>
    <t xml:space="preserve">     Version</t>
  </si>
  <si>
    <t xml:space="preserve">     Project Directory</t>
  </si>
  <si>
    <t xml:space="preserve">     Scenario Name</t>
  </si>
  <si>
    <t xml:space="preserve">     Scenario Description</t>
  </si>
  <si>
    <t>CAPITAL COST EVALUATION BASIS</t>
  </si>
  <si>
    <t xml:space="preserve">     Date</t>
  </si>
  <si>
    <t xml:space="preserve">     Country</t>
  </si>
  <si>
    <t xml:space="preserve">     Units of Measure</t>
  </si>
  <si>
    <t>METRIC</t>
  </si>
  <si>
    <t xml:space="preserve">     Currency (Cost) Symbol</t>
  </si>
  <si>
    <t>U.S. DOLLAR</t>
  </si>
  <si>
    <t xml:space="preserve">     Currency Conversion Rate</t>
  </si>
  <si>
    <t xml:space="preserve">     System Cost Base Date</t>
  </si>
  <si>
    <t xml:space="preserve">     Project Type</t>
  </si>
  <si>
    <t xml:space="preserve">     Design code</t>
  </si>
  <si>
    <t xml:space="preserve">     Prepared By</t>
  </si>
  <si>
    <t xml:space="preserve">     Plant Location</t>
  </si>
  <si>
    <t xml:space="preserve">     Capacity</t>
  </si>
  <si>
    <t xml:space="preserve">     Time Difference Between System Cost Base Date and Start Date for Engineering</t>
  </si>
  <si>
    <t>Days</t>
  </si>
  <si>
    <t xml:space="preserve">     User Currency Name</t>
  </si>
  <si>
    <t>DOLLARS</t>
  </si>
  <si>
    <t xml:space="preserve">     User Currency Description</t>
  </si>
  <si>
    <t>U.S. DOLLARS</t>
  </si>
  <si>
    <t xml:space="preserve">     User Currency Symbol</t>
  </si>
  <si>
    <t>TIME PERIOD</t>
  </si>
  <si>
    <t xml:space="preserve">     Period Description</t>
  </si>
  <si>
    <t xml:space="preserve">     Operating Hours per Period</t>
  </si>
  <si>
    <t>Hours/period</t>
  </si>
  <si>
    <t xml:space="preserve">     Number of Weeks per Period</t>
  </si>
  <si>
    <t>Weeks/period</t>
  </si>
  <si>
    <t xml:space="preserve">     Number of Periods for Analysis</t>
  </si>
  <si>
    <t>Period</t>
  </si>
  <si>
    <t>SCHEDULE</t>
  </si>
  <si>
    <t xml:space="preserve">     Start Date for Engineering</t>
  </si>
  <si>
    <t xml:space="preserve">     Duration of EPC Phase</t>
  </si>
  <si>
    <t xml:space="preserve">     Length of Start-up Period</t>
  </si>
  <si>
    <t xml:space="preserve">     Duration of Construction Phase</t>
  </si>
  <si>
    <t xml:space="preserve">     Completion Date for Construction</t>
  </si>
  <si>
    <t>CAPITAL COSTS PARAMETERS</t>
  </si>
  <si>
    <t xml:space="preserve">     Working Capital Percentage</t>
  </si>
  <si>
    <t>Percent/period</t>
  </si>
  <si>
    <t>OPERATING COSTS PARAMETERS</t>
  </si>
  <si>
    <t xml:space="preserve">      Operating Supplies (lump-sum)</t>
  </si>
  <si>
    <t>Cost/period</t>
  </si>
  <si>
    <t xml:space="preserve">      Laboratory Charges (lump-sum)</t>
  </si>
  <si>
    <t xml:space="preserve">     User Entered Operating Charges (as percentage)</t>
  </si>
  <si>
    <t xml:space="preserve">     Operating Charges (Percent of Operating Labor Costs)</t>
  </si>
  <si>
    <t xml:space="preserve">     Plant Overhead (Percent of Operating Labor and Maintenance Costs)</t>
  </si>
  <si>
    <t xml:space="preserve">     G and A Expenses (Percent of Subtotal Operating Costs)</t>
  </si>
  <si>
    <t>GENERAL INVESTMENT PARAMETERS</t>
  </si>
  <si>
    <t xml:space="preserve">     Tax Rate</t>
  </si>
  <si>
    <t xml:space="preserve">     Interest Rate</t>
  </si>
  <si>
    <t xml:space="preserve">     Economic Life of Project </t>
  </si>
  <si>
    <t xml:space="preserve">     Salvage Value (Fraction of Initial Capital Cost)</t>
  </si>
  <si>
    <t>Percent</t>
  </si>
  <si>
    <t xml:space="preserve">     Depreciation Method</t>
  </si>
  <si>
    <t>Straight Line</t>
  </si>
  <si>
    <t>ESCALATION</t>
  </si>
  <si>
    <t xml:space="preserve">     Project Capital Escalation</t>
  </si>
  <si>
    <t xml:space="preserve">     Products Escalation</t>
  </si>
  <si>
    <t xml:space="preserve">     Raw Material Escalation </t>
  </si>
  <si>
    <t xml:space="preserve">     Operating and Maintenance Labor Escalation</t>
  </si>
  <si>
    <t xml:space="preserve">     Utilities Escalation</t>
  </si>
  <si>
    <t xml:space="preserve">PROJECT RESULTS SUMMARY </t>
  </si>
  <si>
    <t xml:space="preserve">     Total Project Capital Cost</t>
  </si>
  <si>
    <t xml:space="preserve">     Total Raw Materials Cost</t>
  </si>
  <si>
    <t xml:space="preserve">     Total Products Sales</t>
  </si>
  <si>
    <t xml:space="preserve">     Total Operating Labor and Maintenance Cost</t>
  </si>
  <si>
    <t xml:space="preserve">     Total Utilities Cost</t>
  </si>
  <si>
    <t xml:space="preserve">     Total Operating Cost</t>
  </si>
  <si>
    <t xml:space="preserve">     Operating Labor Cost</t>
  </si>
  <si>
    <t xml:space="preserve">     Maintenance Cost</t>
  </si>
  <si>
    <t xml:space="preserve">     Operating Charges</t>
  </si>
  <si>
    <t xml:space="preserve">     Plant Overhead</t>
  </si>
  <si>
    <t xml:space="preserve">     Subtotal Operating Cost</t>
  </si>
  <si>
    <t xml:space="preserve">     G and A Cost</t>
  </si>
  <si>
    <t>PROJECT CAPITAL SUMMARY</t>
  </si>
  <si>
    <t>Total Cost</t>
  </si>
  <si>
    <t>Design, Eng, Procurement</t>
  </si>
  <si>
    <t>Construction Material</t>
  </si>
  <si>
    <t>Construction Manhours</t>
  </si>
  <si>
    <t>Construction Manpower</t>
  </si>
  <si>
    <t>Construction Indirects</t>
  </si>
  <si>
    <t xml:space="preserve">     Purchased Equipment</t>
  </si>
  <si>
    <t xml:space="preserve">     Equipment Setting</t>
  </si>
  <si>
    <t xml:space="preserve">     Piping</t>
  </si>
  <si>
    <t xml:space="preserve">     Civil</t>
  </si>
  <si>
    <t xml:space="preserve">     Steel</t>
  </si>
  <si>
    <t xml:space="preserve">     Instrumentation</t>
  </si>
  <si>
    <t xml:space="preserve">     Electrical</t>
  </si>
  <si>
    <t xml:space="preserve">     Insulation</t>
  </si>
  <si>
    <t xml:space="preserve">     Paint</t>
  </si>
  <si>
    <t xml:space="preserve">     Other</t>
  </si>
  <si>
    <t xml:space="preserve">     Subcontracts</t>
  </si>
  <si>
    <t xml:space="preserve">     G and A Overheads</t>
  </si>
  <si>
    <t xml:space="preserve">     Contract Fee</t>
  </si>
  <si>
    <t xml:space="preserve">     Escalation</t>
  </si>
  <si>
    <t xml:space="preserve">     Contingencies</t>
  </si>
  <si>
    <t xml:space="preserve">     Total Project Cost</t>
  </si>
  <si>
    <t xml:space="preserve">     Adjusted Total Project Cost</t>
  </si>
  <si>
    <t>ENGINEERING SUMMARY</t>
  </si>
  <si>
    <t>Manhours</t>
  </si>
  <si>
    <t xml:space="preserve">     Basic Engineering</t>
  </si>
  <si>
    <t xml:space="preserve">     Detail Engineering</t>
  </si>
  <si>
    <t xml:space="preserve">     Material Procurement</t>
  </si>
  <si>
    <t xml:space="preserve">     Home Office</t>
  </si>
  <si>
    <t xml:space="preserve">     Total Design, Eng, Procurement Cost</t>
  </si>
  <si>
    <t>RAW MATERIALS COSTS AND PRODUCTS SALES</t>
  </si>
  <si>
    <t xml:space="preserve">     Raw Materials Cost per Hour</t>
  </si>
  <si>
    <t>Cost/Hour</t>
  </si>
  <si>
    <t>Cost/Period</t>
  </si>
  <si>
    <t xml:space="preserve">     Products Sales per Hour</t>
  </si>
  <si>
    <t xml:space="preserve">     Main Product Name</t>
  </si>
  <si>
    <t xml:space="preserve">     Main Product Rate</t>
  </si>
  <si>
    <t xml:space="preserve">     Main Product Unit Cost</t>
  </si>
  <si>
    <t xml:space="preserve">     Main Product Production Basis</t>
  </si>
  <si>
    <t xml:space="preserve">     Main Product Rate per Period</t>
  </si>
  <si>
    <t xml:space="preserve">     Main Product Sales</t>
  </si>
  <si>
    <t xml:space="preserve">     By-product Sales</t>
  </si>
  <si>
    <t>OPERATING LABOR AND MAINTENANCE COSTS</t>
  </si>
  <si>
    <t xml:space="preserve">     Operating Labor </t>
  </si>
  <si>
    <t xml:space="preserve">          Operators per Shift</t>
  </si>
  <si>
    <t xml:space="preserve">          Unit Cost</t>
  </si>
  <si>
    <t>Cost/Operator/H</t>
  </si>
  <si>
    <t xml:space="preserve">          Total Operating Labor Cost</t>
  </si>
  <si>
    <t xml:space="preserve">     Maintenance</t>
  </si>
  <si>
    <t xml:space="preserve">          Cost/8000 Hours</t>
  </si>
  <si>
    <t xml:space="preserve">          Total Maintenance Cost</t>
  </si>
  <si>
    <t xml:space="preserve">     Supervision</t>
  </si>
  <si>
    <t xml:space="preserve">          Supervisors per Shift</t>
  </si>
  <si>
    <t>Cost/Supervisor/H</t>
  </si>
  <si>
    <t xml:space="preserve">          Total Supervision Cost</t>
  </si>
  <si>
    <t>UTILITIES COSTS</t>
  </si>
  <si>
    <t xml:space="preserve">     Electricity</t>
  </si>
  <si>
    <t xml:space="preserve">          Rate</t>
  </si>
  <si>
    <t>KW</t>
  </si>
  <si>
    <t>Cost/KWH</t>
  </si>
  <si>
    <t xml:space="preserve">          Total Electricity Cost</t>
  </si>
  <si>
    <t xml:space="preserve">     Potable  Water</t>
  </si>
  <si>
    <t>Cost/M3</t>
  </si>
  <si>
    <t xml:space="preserve">          Total Potable Water Cost</t>
  </si>
  <si>
    <t xml:space="preserve">     Fuel  </t>
  </si>
  <si>
    <t>Cost/MEGAWH</t>
  </si>
  <si>
    <t xml:space="preserve">          Total Fuel Cost</t>
  </si>
  <si>
    <t xml:space="preserve">     Instrument  Air </t>
  </si>
  <si>
    <t xml:space="preserve">          Total Instrument Air Cost</t>
  </si>
  <si>
    <t xml:space="preserve">     Subtotal Cost </t>
  </si>
  <si>
    <t xml:space="preserve">          Total Cost</t>
  </si>
  <si>
    <t xml:space="preserve">Subtotal Cost </t>
  </si>
  <si>
    <t>CASHFLOW.ICS    (Cashflow)</t>
  </si>
  <si>
    <t>TW  (Number of Weeks per Period)</t>
  </si>
  <si>
    <t>T  (Number of Periods for Analysis)</t>
  </si>
  <si>
    <t>DTEPC  (Duration of EPC Phase)</t>
  </si>
  <si>
    <t>DT  (Duration of EPC Phase and Startup)</t>
  </si>
  <si>
    <t>WORKP  (Working Capital Percentage)</t>
  </si>
  <si>
    <t>OPCHG  (Operating Charges)</t>
  </si>
  <si>
    <t>PLANTOVH  (Plant Overhead)</t>
  </si>
  <si>
    <t>CAPT  (Total Project Cost)</t>
  </si>
  <si>
    <t>RAWT  (Total Raw Material Cost)</t>
  </si>
  <si>
    <t>PRODT  (Total Product Sales)</t>
  </si>
  <si>
    <t>OPMT  (Total Operating Labor and Maintenance Cost)</t>
  </si>
  <si>
    <t>UTILT  (Total Utilities Cost)</t>
  </si>
  <si>
    <t>ROR  (Desired Rate of Return/Interest Rate)</t>
  </si>
  <si>
    <t>AF  (ROR Annuity Factor)</t>
  </si>
  <si>
    <t>TAXR  (Tax Rate)</t>
  </si>
  <si>
    <t>IF  (ROR Interest Factor)</t>
  </si>
  <si>
    <t>ECONLIFE  (Economic Life of Project)</t>
  </si>
  <si>
    <t>SALVAL  (Salvage Value (Percent of Initial Capital Cost))</t>
  </si>
  <si>
    <t>DEPMETH  (Depreciation Method)</t>
  </si>
  <si>
    <t>DEPMETHN  (Depreciation Method Id)</t>
  </si>
  <si>
    <t>ESCAP  (Project Capital Escalation)</t>
  </si>
  <si>
    <t>ESPROD  (Products Escalation)</t>
  </si>
  <si>
    <t>ESRAW  (Raw Material Escalation)</t>
  </si>
  <si>
    <t>ESLAB  (Operating and Maintenance Labor Escalation)</t>
  </si>
  <si>
    <t>ESUT  (Utilities Escalation)</t>
  </si>
  <si>
    <t>START  (Start Period for Plant Startup)</t>
  </si>
  <si>
    <t>PODE  (Desired Payout Period (excluding EPC and Startup Phases))</t>
  </si>
  <si>
    <t>POD  (Desired Payout Period)</t>
  </si>
  <si>
    <t>DESRET  (Desired Return on Project for Sales Forecasting)</t>
  </si>
  <si>
    <t>Percent/Period</t>
  </si>
  <si>
    <t>END  (End Period for Economic Life of Project)</t>
  </si>
  <si>
    <t>GA  (G and A Expenses)</t>
  </si>
  <si>
    <t>DTEP  (Duration of EP Phase before Start of Construction)</t>
  </si>
  <si>
    <t>OP  (Total Operating Labor Cost)</t>
  </si>
  <si>
    <t>MT  (Total Maintenance Cost)</t>
  </si>
  <si>
    <t>Sales</t>
  </si>
  <si>
    <t xml:space="preserve">     SP  (Products Sales)</t>
  </si>
  <si>
    <t xml:space="preserve">     SPF  (Forecasted Sales Annuity Factor)</t>
  </si>
  <si>
    <t xml:space="preserve">     SF  (Forecasted Sales)</t>
  </si>
  <si>
    <t xml:space="preserve">     S  (Total Sales)</t>
  </si>
  <si>
    <t>Expenses</t>
  </si>
  <si>
    <t xml:space="preserve">     CAP  (Capital Costs)</t>
  </si>
  <si>
    <t xml:space="preserve">          Unescalated Cumulative Capital Cost</t>
  </si>
  <si>
    <t xml:space="preserve">          Capital Cost</t>
  </si>
  <si>
    <t xml:space="preserve">          Cumulative Capital Cost </t>
  </si>
  <si>
    <t xml:space="preserve">          Working Capital</t>
  </si>
  <si>
    <t xml:space="preserve">     OP  (Operating Costs)</t>
  </si>
  <si>
    <t xml:space="preserve">          Raw Materials</t>
  </si>
  <si>
    <t xml:space="preserve">          Operating Labor Cost</t>
  </si>
  <si>
    <t xml:space="preserve">          Maintenance Cost</t>
  </si>
  <si>
    <t xml:space="preserve">          Utilities</t>
  </si>
  <si>
    <t xml:space="preserve">          Operating Charges</t>
  </si>
  <si>
    <t xml:space="preserve">          Plant Overhead</t>
  </si>
  <si>
    <t xml:space="preserve">          Subtotal Operating Costs</t>
  </si>
  <si>
    <t xml:space="preserve">          G and A Costs</t>
  </si>
  <si>
    <t>R  (Revenue)</t>
  </si>
  <si>
    <t>DEP  (Depreciation Expense)</t>
  </si>
  <si>
    <t>E  (Earnings Before Taxes)</t>
  </si>
  <si>
    <t>TAX  (Taxes)</t>
  </si>
  <si>
    <t>NE  (Net  Earnings)</t>
  </si>
  <si>
    <t>TED  (Total Earnings)</t>
  </si>
  <si>
    <t>TEX  (Total Expenses (Excludes Taxes and Depreciation))</t>
  </si>
  <si>
    <t>CF  (CashFlow for Project)</t>
  </si>
  <si>
    <t>FVI  (Future Value of Cumulative Cash Inflows)</t>
  </si>
  <si>
    <t>PVI  (Present Value of Cumulative Cash Inflows)</t>
  </si>
  <si>
    <t>PVOS  (Present Value of Cumulative Cash Outflows, Sales)</t>
  </si>
  <si>
    <t>PVOP  (Present Value of Cumulative Cash Outfows, Products)</t>
  </si>
  <si>
    <t>PVO  (Present Value of Cumulative Cash Outfows)</t>
  </si>
  <si>
    <t>PV  (Present Value of Cash Flows)</t>
  </si>
  <si>
    <t>NPV  (Net Present Value)</t>
  </si>
  <si>
    <t>IRR  (Internal Rate of Return)</t>
  </si>
  <si>
    <t>MIRR  (Modified Internal Rate of Return)</t>
  </si>
  <si>
    <t>NRR  (Net Return Rate)</t>
  </si>
  <si>
    <t>PO  (Payout  Period)</t>
  </si>
  <si>
    <t>ARR  (Accounting Rate of Return)</t>
  </si>
  <si>
    <t>PI  (Profitability  Index)</t>
  </si>
  <si>
    <t>*** ANALYSIS ***</t>
  </si>
  <si>
    <t>TRAIT EXAMINED</t>
  </si>
  <si>
    <t>Net Present Value</t>
  </si>
  <si>
    <t>Sign</t>
  </si>
  <si>
    <t>( - )</t>
  </si>
  <si>
    <t>+++</t>
  </si>
  <si>
    <t>Modified Internal Rate of Return</t>
  </si>
  <si>
    <t>Net Return Rate</t>
  </si>
  <si>
    <t>Accounting Rate of Return</t>
  </si>
  <si>
    <t>Profitability Index</t>
  </si>
  <si>
    <t xml:space="preserve"> &lt; 1</t>
  </si>
  <si>
    <t>COMMENTS:</t>
  </si>
  <si>
    <t>1.  Net Present Value analysis and Rate of Return analysis may yeild conflicting results.  When this occurs, the results from the net present value analysis should be followed.</t>
  </si>
  <si>
    <t>2.   For TRAIT EXAMINED, symbols mean: ( - ) = "appears unprofitable"; 0 =  "breakeven"; +++ = "appears profitable"</t>
  </si>
  <si>
    <t>DEPRECIATION CALCULATIONS</t>
  </si>
  <si>
    <t>Depreciation Calculations using the Straight-Line Method</t>
  </si>
  <si>
    <t xml:space="preserve">     Depreciation Factor</t>
  </si>
  <si>
    <t xml:space="preserve">     Depreciation Expense</t>
  </si>
  <si>
    <t>Depreciation Calculations using the Sum of the Digits Method</t>
  </si>
  <si>
    <t xml:space="preserve">     Sum of the Digits</t>
  </si>
  <si>
    <t>Depreciation Calculations using the Double Declining Balance Method</t>
  </si>
  <si>
    <t xml:space="preserve">     Straight Line Depreciation</t>
  </si>
  <si>
    <t xml:space="preserve">     Double Declining Balance</t>
  </si>
  <si>
    <t xml:space="preserve">     Remaining Book Value after Double Declining Balance</t>
  </si>
  <si>
    <t xml:space="preserve"> Depreciation Calculations using the Accelerated Cost Recovery System</t>
  </si>
  <si>
    <t xml:space="preserve">     Total Percent Depreciated</t>
  </si>
  <si>
    <t xml:space="preserve">     Remaining Book Value after Double Declining  Balance</t>
  </si>
  <si>
    <t>EQUIP.ICS (Equipment)</t>
  </si>
  <si>
    <t>Area Name</t>
  </si>
  <si>
    <t>Component Name</t>
  </si>
  <si>
    <t>Component Type</t>
  </si>
  <si>
    <t>Total Direct Cost</t>
  </si>
  <si>
    <t>Equipment Cost</t>
  </si>
  <si>
    <t>Equipment Weight</t>
  </si>
  <si>
    <t>Installed Weight</t>
  </si>
  <si>
    <t>(USD)</t>
  </si>
  <si>
    <t>KG</t>
  </si>
  <si>
    <t>R1.MIXER</t>
  </si>
  <si>
    <t xml:space="preserve">C             </t>
  </si>
  <si>
    <t>R1.B1</t>
  </si>
  <si>
    <t xml:space="preserve">DVT CYLINDER  </t>
  </si>
  <si>
    <t>R1.SPLIT</t>
  </si>
  <si>
    <t>Miscellaneous Flowsheet Area</t>
  </si>
  <si>
    <t xml:space="preserve">DHE TEMA EXCH </t>
  </si>
  <si>
    <t>T1-bottoms split</t>
  </si>
  <si>
    <t>T1-cond</t>
  </si>
  <si>
    <t>T1-cond acc</t>
  </si>
  <si>
    <t>DHT HORIZ DRUM</t>
  </si>
  <si>
    <t>T1-overhead split</t>
  </si>
  <si>
    <t>T1-reb</t>
  </si>
  <si>
    <t xml:space="preserve">DRB U TUBE    </t>
  </si>
  <si>
    <t>T1-reflux pump</t>
  </si>
  <si>
    <t xml:space="preserve">DCP CENTRIF   </t>
  </si>
  <si>
    <t>T1-tower</t>
  </si>
  <si>
    <t xml:space="preserve">DTW TOWER     </t>
  </si>
  <si>
    <t xml:space="preserve">DGC CENTRIF   </t>
  </si>
  <si>
    <t>V5-flash vessel</t>
  </si>
  <si>
    <t>$C-2</t>
  </si>
  <si>
    <t>$C-1</t>
  </si>
  <si>
    <t>T3-bottoms split</t>
  </si>
  <si>
    <t>T3-cond</t>
  </si>
  <si>
    <t>T3-cond acc</t>
  </si>
  <si>
    <t>T3-overhead split</t>
  </si>
  <si>
    <t>T3-reb</t>
  </si>
  <si>
    <t>T3-reflux pump</t>
  </si>
  <si>
    <t>T3-tower</t>
  </si>
  <si>
    <t xml:space="preserve">DAT REACTOR   </t>
  </si>
  <si>
    <t>V1-flash vessel</t>
  </si>
  <si>
    <t>$C-3</t>
  </si>
  <si>
    <t>V3-flash vessel</t>
  </si>
  <si>
    <t>V2-flash vessel</t>
  </si>
  <si>
    <t>T2-bottoms split</t>
  </si>
  <si>
    <t>T2-cond</t>
  </si>
  <si>
    <t>T2-cond acc</t>
  </si>
  <si>
    <t>T2-overhead split</t>
  </si>
  <si>
    <t>T2-reb</t>
  </si>
  <si>
    <t>T2-reflux pump</t>
  </si>
  <si>
    <t>T2-tower</t>
  </si>
  <si>
    <t>V4-flash vessel</t>
  </si>
  <si>
    <t>C:\Users\Ngan\Documents\AspenTech\My Economic Evaluation V10.0 Files\My Econ_Process Projects\20909C1\1</t>
  </si>
  <si>
    <t>KG/H</t>
  </si>
  <si>
    <t>USD/KG</t>
  </si>
  <si>
    <t>KG/Year</t>
  </si>
  <si>
    <t>12-Naphthalene</t>
  </si>
  <si>
    <t>6-RXNin</t>
  </si>
  <si>
    <t>7-RXN-out</t>
  </si>
  <si>
    <t>B1</t>
  </si>
  <si>
    <t>49-COKE</t>
  </si>
  <si>
    <t>50-O2</t>
  </si>
  <si>
    <t>54-CO2</t>
  </si>
  <si>
    <t>20-BEN</t>
  </si>
  <si>
    <t>27-ETHYL</t>
  </si>
  <si>
    <t>28-C2</t>
  </si>
  <si>
    <t>27-Ethylene</t>
  </si>
  <si>
    <t>20-Benzene</t>
  </si>
  <si>
    <t>37-H2</t>
  </si>
  <si>
    <t>MJ/hr</t>
  </si>
  <si>
    <t>Experiment</t>
  </si>
  <si>
    <t>Aspen (checked)</t>
  </si>
  <si>
    <t>Catlatyst performance (conversion, selectivity)</t>
  </si>
  <si>
    <t xml:space="preserve">Reactor inlet: H2/CH4 ratio </t>
  </si>
  <si>
    <t>H2/CH4</t>
  </si>
  <si>
    <t>Yields (%)</t>
  </si>
  <si>
    <t>One-pass conversion (%)</t>
  </si>
  <si>
    <t>Ethylene</t>
  </si>
  <si>
    <t>C2 (Ethane, Acethylene)</t>
  </si>
  <si>
    <t>Benzene</t>
  </si>
  <si>
    <t>Napthalene</t>
  </si>
  <si>
    <t>Hydrogen</t>
  </si>
  <si>
    <t>Methane</t>
  </si>
  <si>
    <t>Heat flow in raw material (MJ/h)</t>
  </si>
  <si>
    <t>Heat flow in production (MJ/h)</t>
  </si>
  <si>
    <t>Utility consumption (MJ/h)</t>
  </si>
  <si>
    <t>Refrigeration</t>
  </si>
  <si>
    <t>Electicity</t>
  </si>
  <si>
    <t>High pressure steam</t>
  </si>
  <si>
    <t>Low pressure steam</t>
  </si>
  <si>
    <t>486941710  KG/Year  27-ETHYL @ 0.990  USD/KG</t>
  </si>
  <si>
    <t>Thursday, November 09, 2017</t>
  </si>
  <si>
    <t>C:\Users\Ngan\Desktop\C1 refinery\Aspen case\20190918_Final economic\_5615tfr.ads</t>
  </si>
  <si>
    <t>Wednesday, September 18, 2019</t>
  </si>
  <si>
    <t>Wed Sep 18 13:08:03 2019</t>
  </si>
  <si>
    <t>NganDo</t>
  </si>
  <si>
    <t>C1 Refinery</t>
  </si>
  <si>
    <t>Flash tank</t>
  </si>
  <si>
    <t>Columns</t>
  </si>
  <si>
    <t>Heat exchanger, heater, cooler</t>
  </si>
  <si>
    <t>Overall conversion (%)_Ethylene</t>
  </si>
  <si>
    <t>Overall conversion (%)_Hydrocarbon</t>
  </si>
  <si>
    <t>Purchased equipment (PE)</t>
  </si>
  <si>
    <t>Operating labor cost</t>
  </si>
  <si>
    <t>Maintenance cost</t>
  </si>
  <si>
    <t>Operating charges</t>
  </si>
  <si>
    <t>Plant overhead</t>
  </si>
  <si>
    <t>G&amp;A cost</t>
  </si>
  <si>
    <t>Total</t>
  </si>
  <si>
    <t xml:space="preserve">CARBON EFFICIENCY </t>
  </si>
  <si>
    <t>ENERGY EFFICIENCY</t>
  </si>
  <si>
    <t xml:space="preserve"> </t>
  </si>
  <si>
    <t>Ethylene (99.9% vol)</t>
  </si>
  <si>
    <t>Acethylene (95.1 %vol)</t>
  </si>
  <si>
    <t>Naphthalene (95.7 %wt)</t>
  </si>
  <si>
    <t>Benzene (99 %wt)</t>
  </si>
  <si>
    <t>PRODUCT STREAM (KG/H)</t>
  </si>
  <si>
    <t>MAJOR STREAM INFORMATION</t>
  </si>
  <si>
    <r>
      <t>BOILING TEMPERATURE AT 1ATM (</t>
    </r>
    <r>
      <rPr>
        <b/>
        <sz val="14"/>
        <color theme="1"/>
        <rFont val="Arial"/>
        <family val="2"/>
      </rPr>
      <t>°</t>
    </r>
    <r>
      <rPr>
        <b/>
        <sz val="14"/>
        <color theme="1"/>
        <rFont val="맑은 고딕"/>
        <family val="2"/>
        <scheme val="minor"/>
      </rPr>
      <t>C)</t>
    </r>
  </si>
  <si>
    <t>Hydrogen (96 %vol)</t>
  </si>
  <si>
    <t>Energy efficiency (%)_For only Ethylene</t>
  </si>
  <si>
    <t>Energy efficiency (%)_For all Hydrocarbon</t>
  </si>
  <si>
    <t>Direct plan cost</t>
  </si>
  <si>
    <t>Indirect plant cost</t>
  </si>
  <si>
    <t>Total capital investment cost (TCI)</t>
  </si>
  <si>
    <t>Equipment setting</t>
  </si>
  <si>
    <t>Instrumentation and control</t>
  </si>
  <si>
    <t>Piping</t>
  </si>
  <si>
    <t>Electrical installation</t>
  </si>
  <si>
    <t>Building and building services</t>
  </si>
  <si>
    <t>Yard improvements</t>
  </si>
  <si>
    <t>Services facilities</t>
  </si>
  <si>
    <t>Engineering</t>
  </si>
  <si>
    <t>Construction expenses</t>
  </si>
  <si>
    <t>Legal expenses</t>
  </si>
  <si>
    <t>Contractor's fee</t>
  </si>
  <si>
    <t>Contingency</t>
  </si>
  <si>
    <t xml:space="preserve">Operationg cost </t>
  </si>
  <si>
    <t>Raw materials</t>
  </si>
  <si>
    <t>Utilities</t>
  </si>
  <si>
    <t>Unit price</t>
  </si>
  <si>
    <t>Unit</t>
  </si>
  <si>
    <t>kg/h</t>
  </si>
  <si>
    <t>Amount</t>
  </si>
  <si>
    <t>MJ/h</t>
  </si>
  <si>
    <t>UTILYTY CONSUMPTION</t>
  </si>
  <si>
    <t>`</t>
  </si>
  <si>
    <t>kWh</t>
  </si>
  <si>
    <t>CO2 emission</t>
  </si>
  <si>
    <t>Variable operating cost</t>
  </si>
  <si>
    <t>Fixed operating costs</t>
  </si>
  <si>
    <t>-47~36</t>
  </si>
  <si>
    <t>Utility</t>
  </si>
  <si>
    <t>Weight factor</t>
  </si>
  <si>
    <t>$/kg</t>
  </si>
  <si>
    <t>$/kWh</t>
  </si>
  <si>
    <t>$/ton</t>
  </si>
  <si>
    <t>Interest rate (r)</t>
  </si>
  <si>
    <t>Life time (n)</t>
  </si>
  <si>
    <t>Annual factor (a(r,n))</t>
  </si>
  <si>
    <t>Variable operating cost ($/year)</t>
  </si>
  <si>
    <t>ton</t>
  </si>
  <si>
    <t>MJ</t>
  </si>
  <si>
    <t>ton/y</t>
  </si>
  <si>
    <t>Total amount (year)</t>
  </si>
  <si>
    <t>Original ($)</t>
  </si>
  <si>
    <t>Production</t>
  </si>
  <si>
    <t>kg</t>
  </si>
  <si>
    <t>kton</t>
  </si>
  <si>
    <t>TCI</t>
  </si>
  <si>
    <t>$/MMBTU</t>
  </si>
  <si>
    <t>MMBTU</t>
  </si>
  <si>
    <t>Profit</t>
  </si>
  <si>
    <t>$/y</t>
  </si>
  <si>
    <t>Annualized TPI ($/year)</t>
  </si>
  <si>
    <t>Changed</t>
  </si>
  <si>
    <t>%</t>
  </si>
  <si>
    <t>1 MMBTU = 28.263682 m3 NG</t>
  </si>
  <si>
    <t>Crude Naphthalene (95.7 %wt)</t>
  </si>
  <si>
    <t>Depreciation = TPI / Life time</t>
  </si>
  <si>
    <t>Tax = (Profit - Depreciation)* Tax rate</t>
  </si>
  <si>
    <t>ROI = Profit - Tax</t>
  </si>
  <si>
    <t>Profit = Revenue - Expenses</t>
  </si>
  <si>
    <t>Expense = Variable + Fixed costs</t>
  </si>
  <si>
    <t>Tax rate</t>
  </si>
  <si>
    <t>Annualized TPI (Return on investment ROI)</t>
  </si>
  <si>
    <t>Depreciation</t>
  </si>
  <si>
    <t>Tax</t>
  </si>
  <si>
    <t>Expense</t>
  </si>
  <si>
    <t>Naphthalene and benzene price in correlation to ethylene price</t>
  </si>
  <si>
    <t>Total capital investment cost (TCI) ($)</t>
  </si>
  <si>
    <t>Revenue (at break-even point) ($)</t>
  </si>
  <si>
    <t>H2 price in correlation to NG gas H2=0.1515NG+0.9287 ($/kg)</t>
  </si>
  <si>
    <t>Improve by burning coke_Hydrocarbon</t>
  </si>
  <si>
    <t>Heat recovery by burning coke (included) (MJ)</t>
  </si>
  <si>
    <t>Natural gas for Fired heat</t>
  </si>
  <si>
    <t>https://doi.org/10.1016/j.joule.2018.01.001</t>
  </si>
  <si>
    <t>PURCHASED EQUIPMENT COST ($)</t>
  </si>
  <si>
    <t>FACTOR FOR TCI</t>
  </si>
  <si>
    <t>Production cost</t>
  </si>
  <si>
    <t>Minimum selling price of ethylene - MSP ($/kg)</t>
  </si>
  <si>
    <t>1MMBTU=1055MJ, 4251 MMBTU, 0.85 ef by Gavin Towler book</t>
  </si>
  <si>
    <r>
      <t xml:space="preserve">Inter.value (1+r) </t>
    </r>
    <r>
      <rPr>
        <vertAlign val="superscript"/>
        <sz val="11"/>
        <rFont val="맑은 고딕"/>
        <family val="2"/>
        <scheme val="minor"/>
      </rPr>
      <t>n</t>
    </r>
  </si>
  <si>
    <t>Douglas_KoltsegFuggvenyek estimated for HE</t>
  </si>
  <si>
    <t>lb</t>
  </si>
  <si>
    <t>Reactor (R1+E1)_1245MW</t>
  </si>
  <si>
    <t>ECONOMIC CALCULATION</t>
  </si>
  <si>
    <t>Ben=0.695ethylene - 37.031/1000 ($/kg), Nap=0.5/0.65*Ben ($/kg)</t>
  </si>
  <si>
    <t>Acetylene = 0.65 ethylene</t>
  </si>
  <si>
    <t>Raw Acethylene (95.1 %vol)</t>
  </si>
  <si>
    <t xml:space="preserve">Location </t>
  </si>
  <si>
    <t>Interest rate</t>
  </si>
  <si>
    <t>Depreciation method</t>
  </si>
  <si>
    <t>System Cost Base Date</t>
  </si>
  <si>
    <t>Project Type</t>
  </si>
  <si>
    <t>Plant lifetime (y)</t>
  </si>
  <si>
    <t>Annual operating hours (h)</t>
  </si>
  <si>
    <t>Interest rate (%)</t>
  </si>
  <si>
    <t>Tax rate (%)</t>
  </si>
  <si>
    <t>ASSUMPTION AND PARAMETERS</t>
  </si>
  <si>
    <t>Straight line</t>
  </si>
  <si>
    <t>1. Assumption and parameters</t>
  </si>
  <si>
    <t>3. Sensitivity analysis</t>
  </si>
  <si>
    <t>MT/y</t>
  </si>
  <si>
    <t>CH4Fd ton/y</t>
  </si>
  <si>
    <t>M$/y</t>
  </si>
  <si>
    <t>Steam</t>
  </si>
  <si>
    <t>Other</t>
  </si>
  <si>
    <t>revenue</t>
  </si>
  <si>
    <t>Crude Naphthalene</t>
  </si>
  <si>
    <t>Raw Acethylene</t>
  </si>
  <si>
    <t>Revenue</t>
  </si>
  <si>
    <t>Production costs</t>
  </si>
  <si>
    <t>Annualized TCI</t>
  </si>
  <si>
    <t>Natural gas</t>
  </si>
  <si>
    <t>2. Calculation of Production Costs and Revenue</t>
  </si>
  <si>
    <t>Natural gas price</t>
  </si>
  <si>
    <t>Lifetime</t>
  </si>
  <si>
    <t>Refrigeration price</t>
  </si>
  <si>
    <t>Electricity price</t>
  </si>
  <si>
    <t>Cooling water price</t>
  </si>
  <si>
    <t>Based</t>
  </si>
  <si>
    <t xml:space="preserve">Sensitivity </t>
  </si>
  <si>
    <t>Total production costs</t>
  </si>
  <si>
    <t>Gap value</t>
  </si>
  <si>
    <t>Increase (%)</t>
  </si>
  <si>
    <t>Sensitivity on Total production cost</t>
  </si>
  <si>
    <t>DC</t>
  </si>
  <si>
    <t>IDC</t>
  </si>
  <si>
    <t>VOC</t>
  </si>
  <si>
    <t>FOC</t>
  </si>
  <si>
    <t>Fuel_NG</t>
  </si>
  <si>
    <t>Raw material_NG</t>
  </si>
  <si>
    <t>Products</t>
  </si>
  <si>
    <t>Mole flowrate (kmol/h)</t>
  </si>
  <si>
    <t>Mass flow rate (kg/h)</t>
  </si>
  <si>
    <t>Value (MM$)</t>
  </si>
  <si>
    <t>Capacity (kton/y)</t>
  </si>
  <si>
    <t>Unit price ($/kg)</t>
  </si>
  <si>
    <t>Sale credits (M$/y)</t>
  </si>
  <si>
    <t>Production and credits (MM$/y)</t>
  </si>
  <si>
    <t>KRICT (previous data)</t>
    <phoneticPr fontId="5" type="noConversion"/>
  </si>
  <si>
    <t>KRICT (current data)</t>
    <phoneticPr fontId="5" type="noConversion"/>
  </si>
  <si>
    <r>
      <t>Temp (</t>
    </r>
    <r>
      <rPr>
        <vertAlign val="superscript"/>
        <sz val="11"/>
        <rFont val="Calibri"/>
        <family val="2"/>
      </rPr>
      <t>o</t>
    </r>
    <r>
      <rPr>
        <sz val="11"/>
        <rFont val="Calibri"/>
        <family val="2"/>
      </rPr>
      <t>C)</t>
    </r>
  </si>
  <si>
    <t>O</t>
    <phoneticPr fontId="5" type="noConversion"/>
  </si>
  <si>
    <t>Low temp hydrogenation (temperature control by thermal gradient of CH4 pyrolysis zone in a single tube reactor)</t>
    <phoneticPr fontId="5" type="noConversion"/>
  </si>
  <si>
    <t>X</t>
    <phoneticPr fontId="5" type="noConversion"/>
  </si>
  <si>
    <t>Catalyst (Pd content on wall coated (umol)</t>
    <phoneticPr fontId="5" type="noConversion"/>
  </si>
  <si>
    <t>Toluene</t>
    <phoneticPr fontId="5" type="noConversion"/>
  </si>
  <si>
    <r>
      <t xml:space="preserve">Product composition (mol/h) </t>
    </r>
    <r>
      <rPr>
        <b/>
        <sz val="11"/>
        <rFont val="Calibri"/>
        <family val="2"/>
      </rPr>
      <t>(1)</t>
    </r>
  </si>
  <si>
    <r>
      <t xml:space="preserve">Effluent composition (vol%) </t>
    </r>
    <r>
      <rPr>
        <b/>
        <sz val="11"/>
        <rFont val="Calibri"/>
        <family val="2"/>
      </rPr>
      <t>(1)</t>
    </r>
  </si>
  <si>
    <r>
      <t>Temp (</t>
    </r>
    <r>
      <rPr>
        <vertAlign val="superscript"/>
        <sz val="11"/>
        <color rgb="FF0000CC"/>
        <rFont val="Calibri"/>
        <family val="2"/>
      </rPr>
      <t>o</t>
    </r>
    <r>
      <rPr>
        <sz val="11"/>
        <color rgb="FF0000CC"/>
        <rFont val="Calibri"/>
        <family val="2"/>
      </rPr>
      <t>C)</t>
    </r>
  </si>
  <si>
    <r>
      <t xml:space="preserve">Quenched product composition (mol/h) </t>
    </r>
    <r>
      <rPr>
        <b/>
        <sz val="11"/>
        <color theme="1"/>
        <rFont val="Calibri"/>
        <family val="2"/>
      </rPr>
      <t>(2)</t>
    </r>
  </si>
  <si>
    <r>
      <t xml:space="preserve">Quenched product composition (mol/h) </t>
    </r>
    <r>
      <rPr>
        <b/>
        <sz val="11"/>
        <color theme="1"/>
        <rFont val="Calibri"/>
        <family val="2"/>
      </rPr>
      <t>(3)</t>
    </r>
  </si>
  <si>
    <r>
      <t xml:space="preserve">Effluent composition (vol%) </t>
    </r>
    <r>
      <rPr>
        <b/>
        <sz val="11"/>
        <color theme="1"/>
        <rFont val="Calibri"/>
        <family val="2"/>
      </rPr>
      <t>(3)</t>
    </r>
  </si>
  <si>
    <t>Previous</t>
  </si>
  <si>
    <t>Case 1</t>
  </si>
  <si>
    <t>Case 2</t>
  </si>
  <si>
    <t>Case 3</t>
  </si>
  <si>
    <t>Case 4</t>
  </si>
  <si>
    <t>C2-C5 hydrocarbon</t>
  </si>
  <si>
    <t>CW</t>
  </si>
  <si>
    <t>MCOMP1</t>
  </si>
  <si>
    <t>MCOMP2</t>
  </si>
  <si>
    <t>TOL</t>
  </si>
  <si>
    <t>C2-C5</t>
  </si>
  <si>
    <t>(MJ/kg)</t>
  </si>
  <si>
    <t xml:space="preserve">HHV </t>
  </si>
  <si>
    <t>(kWh/kg)</t>
  </si>
  <si>
    <t>MHX4</t>
  </si>
  <si>
    <t>MHX3</t>
  </si>
  <si>
    <t>T1DST</t>
  </si>
  <si>
    <t>MHX2</t>
  </si>
  <si>
    <t>T2DST</t>
  </si>
  <si>
    <t>T3DST</t>
  </si>
  <si>
    <t>MHX1</t>
  </si>
  <si>
    <t>Name</t>
  </si>
  <si>
    <t>Equipment Cost [USD]</t>
  </si>
  <si>
    <t>Installed Cost [USD]</t>
  </si>
  <si>
    <t>Equipment Weight [KG]</t>
  </si>
  <si>
    <t>Installed Weight [KG]</t>
  </si>
  <si>
    <t>R1.B2</t>
  </si>
  <si>
    <t>CASE 1</t>
  </si>
  <si>
    <t>Expenditure ($) = revenue at MSP</t>
  </si>
  <si>
    <t>Gcal</t>
  </si>
  <si>
    <t>-</t>
  </si>
  <si>
    <t>1. Total capital investment cost (TCI) ($)</t>
  </si>
  <si>
    <t>1.1. Direct plan cost</t>
  </si>
  <si>
    <t>1.2. Indirect plant cost</t>
  </si>
  <si>
    <t>2.1. Variable operating cost</t>
  </si>
  <si>
    <t>Fuel gas</t>
  </si>
  <si>
    <t>Assumption</t>
  </si>
  <si>
    <t>Value</t>
  </si>
  <si>
    <t>Yeraly consumprtion (8000 hr/y)</t>
  </si>
  <si>
    <t>Capital charge factor</t>
  </si>
  <si>
    <t>Expense (OPEX) = Variable + Fixed costs</t>
  </si>
  <si>
    <t>Expenditure ($)</t>
  </si>
  <si>
    <t>Product</t>
  </si>
  <si>
    <t>Production amount (kg/y)</t>
  </si>
  <si>
    <t>MSP_Ethylene (99.9% vol)</t>
  </si>
  <si>
    <t>Natural gas feedstock</t>
  </si>
  <si>
    <t>Operating charges [% of operating labor cost]</t>
  </si>
  <si>
    <t xml:space="preserve">Plant overhead [% of labor and maintenance costs] </t>
  </si>
  <si>
    <t xml:space="preserve">G&amp;A [% of fixed-operating cost] </t>
  </si>
  <si>
    <t>2. Total perationg cost ($)</t>
  </si>
  <si>
    <t>kg/y</t>
  </si>
  <si>
    <t>C2-C5 hydrocarbon (85%vol C2, 15% C3-C5)</t>
  </si>
  <si>
    <t>etrhane 8.7 cent/lb (https://investors.westlake.com/industry-pricing/default.aspx)</t>
  </si>
  <si>
    <t>0.955 $/kg ethylene (korean market 2020 - https://www.fibre2fashion.com/market-intelligence/textile-market-watch/ethylene-price-trends-industry-reports/16/?gcode=1)</t>
  </si>
  <si>
    <t>UPC_Ethylene</t>
  </si>
  <si>
    <t>Total production cost ($/y)</t>
  </si>
  <si>
    <t>Raw Naphthalene</t>
  </si>
  <si>
    <t>UPC</t>
  </si>
  <si>
    <t>Annualized capital cost</t>
  </si>
  <si>
    <t>Raw material</t>
  </si>
  <si>
    <t>Fixed operating cost</t>
  </si>
  <si>
    <t>Credit_Hydrogen</t>
  </si>
  <si>
    <t>Credit_Raw Naphthalene</t>
  </si>
  <si>
    <t>Credit_Benzene</t>
  </si>
  <si>
    <t>Credit_C2-C5</t>
  </si>
  <si>
    <t>Credit_Raw Acethylene</t>
  </si>
  <si>
    <t>MSP</t>
  </si>
  <si>
    <t>2. Production Costs, UPC, and MSP</t>
  </si>
  <si>
    <t>Return on investment</t>
  </si>
  <si>
    <t>Catalytic conversion</t>
  </si>
  <si>
    <t>[Carbon]</t>
  </si>
  <si>
    <t>Total CH4 reacted</t>
  </si>
  <si>
    <t>Conversion</t>
  </si>
  <si>
    <t>Current data (2021)</t>
  </si>
  <si>
    <t>Previous (2019)</t>
  </si>
  <si>
    <t>Heat exchanger</t>
  </si>
  <si>
    <t>Cold stream</t>
  </si>
  <si>
    <t>Cold T in</t>
  </si>
  <si>
    <t>Cold T out</t>
  </si>
  <si>
    <t>Hot stream</t>
  </si>
  <si>
    <t>Hot T in</t>
  </si>
  <si>
    <t>Hot T out</t>
  </si>
  <si>
    <t>Load (kJ/h)</t>
  </si>
  <si>
    <t>Load (MW)</t>
  </si>
  <si>
    <t>Area (m2)</t>
  </si>
  <si>
    <t>E-110</t>
  </si>
  <si>
    <t>39_To_42</t>
  </si>
  <si>
    <t>5_To_10</t>
  </si>
  <si>
    <t>E-111</t>
  </si>
  <si>
    <t>3_To_4</t>
  </si>
  <si>
    <t>E-112</t>
  </si>
  <si>
    <t>31_To_35</t>
  </si>
  <si>
    <t>E-113</t>
  </si>
  <si>
    <t>45_To_46</t>
  </si>
  <si>
    <t>E-114</t>
  </si>
  <si>
    <t>14_To_15</t>
  </si>
  <si>
    <t>E-115</t>
  </si>
  <si>
    <t>E-116</t>
  </si>
  <si>
    <t>E-117</t>
  </si>
  <si>
    <t>To Reboiler@T3_TO_28-C2C5</t>
  </si>
  <si>
    <t>22_To_24</t>
  </si>
  <si>
    <t>E-118</t>
  </si>
  <si>
    <t>To Condenser@T3_TO_27-ETHYL</t>
  </si>
  <si>
    <t>E-119</t>
  </si>
  <si>
    <t>To Reboiler@T2_TO_26-C2+</t>
  </si>
  <si>
    <t>17_To_18</t>
  </si>
  <si>
    <t>E-120</t>
  </si>
  <si>
    <t>V3_heat</t>
  </si>
  <si>
    <t>E-121</t>
  </si>
  <si>
    <t>CRYOTEMP</t>
  </si>
  <si>
    <t>29_To_30</t>
  </si>
  <si>
    <t>E-122</t>
  </si>
  <si>
    <t>To Condenser@T1_TO_21</t>
  </si>
  <si>
    <t>E-123</t>
  </si>
  <si>
    <t>To Condenser@T2_TO_45Duplicate</t>
  </si>
  <si>
    <t>E-124</t>
  </si>
  <si>
    <t>To Reboiler@T1_TO_20-BEN</t>
  </si>
  <si>
    <t>FIRED</t>
  </si>
  <si>
    <t>E-125</t>
  </si>
  <si>
    <t>E-126</t>
  </si>
  <si>
    <t>V5_heat</t>
  </si>
  <si>
    <t>E-127</t>
  </si>
  <si>
    <t>V4_heat</t>
  </si>
  <si>
    <t>E-128</t>
  </si>
  <si>
    <t>E-129</t>
  </si>
  <si>
    <t>V1_heat</t>
  </si>
  <si>
    <t>E-130</t>
  </si>
  <si>
    <t>E-131</t>
  </si>
  <si>
    <t>E-132</t>
  </si>
  <si>
    <t>E-133</t>
  </si>
  <si>
    <t xml:space="preserve">Heating requirement </t>
  </si>
  <si>
    <t xml:space="preserve">Cooling requirement </t>
  </si>
  <si>
    <t>Cat</t>
  </si>
  <si>
    <t>Before</t>
  </si>
  <si>
    <t>After</t>
  </si>
  <si>
    <t>Compress &amp; G/L sep</t>
  </si>
  <si>
    <t>Compression and G/L separation</t>
  </si>
  <si>
    <t>Coldbox and cryogenic separation</t>
  </si>
  <si>
    <t>SUM</t>
  </si>
  <si>
    <t>Cryogenic separation and recovery</t>
  </si>
  <si>
    <t>LBS</t>
  </si>
  <si>
    <t>R1.RADIANT1</t>
  </si>
  <si>
    <t>R1.M5</t>
  </si>
  <si>
    <t>R1.M402</t>
  </si>
  <si>
    <t>R1.DECOKING</t>
  </si>
  <si>
    <t>R1.CONVECT2</t>
  </si>
  <si>
    <t>R1.CONVECT1</t>
  </si>
  <si>
    <t>R1.COMBUST</t>
  </si>
  <si>
    <t>R1.B6</t>
  </si>
  <si>
    <t>E9</t>
  </si>
  <si>
    <t>E8</t>
  </si>
  <si>
    <t>E6</t>
  </si>
  <si>
    <t>E5</t>
  </si>
  <si>
    <t>E10</t>
  </si>
  <si>
    <t>Case 5_FH</t>
  </si>
  <si>
    <t>Case 4_FH</t>
  </si>
  <si>
    <t>Case 4_efurnace</t>
  </si>
  <si>
    <t>Case 5_efurnace</t>
  </si>
  <si>
    <t>-20%</t>
  </si>
  <si>
    <t>+20%</t>
  </si>
  <si>
    <t xml:space="preserve">Natural gas price ($/MMBTU) </t>
  </si>
  <si>
    <t xml:space="preserve">-20%: </t>
  </si>
  <si>
    <t xml:space="preserve">+20%: </t>
  </si>
  <si>
    <t>Increase</t>
  </si>
  <si>
    <t>Grid electricity ($/kWh)</t>
  </si>
  <si>
    <t>Renewable electricity ($/kWh)</t>
  </si>
  <si>
    <t>Based UPC</t>
  </si>
  <si>
    <t>By-product H2 price ($/kg)</t>
  </si>
  <si>
    <t>SUM</t>
    <phoneticPr fontId="5" type="noConversion"/>
  </si>
  <si>
    <t>Selectivity(Carbon%)</t>
    <phoneticPr fontId="5" type="noConversion"/>
  </si>
  <si>
    <t>product distribution(vol%)</t>
    <phoneticPr fontId="5" type="noConversion"/>
  </si>
  <si>
    <t>Case 1</t>
    <phoneticPr fontId="5" type="noConversion"/>
  </si>
  <si>
    <t>H2/CH4 ratio</t>
    <phoneticPr fontId="5" type="noConversion"/>
  </si>
  <si>
    <r>
      <t>Temperature (</t>
    </r>
    <r>
      <rPr>
        <vertAlign val="superscript"/>
        <sz val="11"/>
        <rFont val="Calibri"/>
        <family val="2"/>
      </rPr>
      <t>o</t>
    </r>
    <r>
      <rPr>
        <sz val="11"/>
        <rFont val="Calibri"/>
        <family val="2"/>
      </rPr>
      <t>C)</t>
    </r>
    <phoneticPr fontId="5" type="noConversion"/>
  </si>
  <si>
    <t>Recycle ratio</t>
    <phoneticPr fontId="5" type="noConversion"/>
  </si>
  <si>
    <t>Ethylene yield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</si>
</sst>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.00_);_(* \(#,##0.00\);_(* &quot;-&quot;??_);_(@_)"/>
    <numFmt numFmtId="178" formatCode="0.0"/>
    <numFmt numFmtId="179" formatCode="0.00000"/>
    <numFmt numFmtId="180" formatCode="0.0000000"/>
    <numFmt numFmtId="181" formatCode="0.000000"/>
    <numFmt numFmtId="182" formatCode="0.000"/>
    <numFmt numFmtId="183" formatCode="0.0%"/>
    <numFmt numFmtId="184" formatCode="_(* #,##0.0_);_(* \(#,##0.0\);_(* &quot;-&quot;??_);_(@_)"/>
    <numFmt numFmtId="185" formatCode="_(* #,##0_);_(* \(#,##0\);_(* &quot;-&quot;??_);_(@_)"/>
    <numFmt numFmtId="186" formatCode="_(* #,##0.000_);_(* \(#,##0.000\);_(* &quot;-&quot;??_);_(@_)"/>
    <numFmt numFmtId="187" formatCode="0.00_ "/>
    <numFmt numFmtId="188" formatCode="0.000000000"/>
    <numFmt numFmtId="190" formatCode="_-* #,##0_-;\-* #,##0_-;_-* &quot;-&quot;??_-;_-@_-"/>
    <numFmt numFmtId="191" formatCode="0.0000"/>
    <numFmt numFmtId="193" formatCode="_-* #,##0.0_-;\-* #,##0.0_-;_-* &quot;-&quot;??_-;_-@_-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rgb="FF0000CC"/>
      <name val="Calibri"/>
      <family val="2"/>
    </font>
    <font>
      <vertAlign val="superscript"/>
      <sz val="11"/>
      <color rgb="FF0000CC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돋움"/>
      <family val="3"/>
      <charset val="129"/>
    </font>
    <font>
      <b/>
      <i/>
      <sz val="11"/>
      <color rgb="FFFF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b/>
      <i/>
      <sz val="14"/>
      <color rgb="FFFF0000"/>
      <name val="맑은 고딕"/>
      <family val="2"/>
      <scheme val="minor"/>
    </font>
    <font>
      <b/>
      <sz val="11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0" tint="-0.1499984740745262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0"/>
      <name val="Arial"/>
      <family val="2"/>
    </font>
    <font>
      <b/>
      <sz val="14"/>
      <color theme="1"/>
      <name val="맑은 고딕"/>
      <family val="2"/>
      <scheme val="minor"/>
    </font>
    <font>
      <b/>
      <sz val="14"/>
      <name val="Calibri"/>
      <family val="2"/>
    </font>
    <font>
      <b/>
      <sz val="14"/>
      <color theme="1"/>
      <name val="Arial"/>
      <family val="2"/>
    </font>
    <font>
      <vertAlign val="superscript"/>
      <sz val="11"/>
      <name val="맑은 고딕"/>
      <family val="2"/>
      <scheme val="minor"/>
    </font>
    <font>
      <b/>
      <sz val="14"/>
      <name val="맑은 고딕"/>
      <family val="2"/>
      <scheme val="minor"/>
    </font>
    <font>
      <sz val="11"/>
      <color theme="0" tint="-0.14999847407452621"/>
      <name val="맑은 고딕"/>
      <family val="2"/>
      <charset val="129"/>
      <scheme val="minor"/>
    </font>
    <font>
      <sz val="11"/>
      <color theme="0" tint="-0.249977111117893"/>
      <name val="Segoe UI"/>
      <family val="2"/>
    </font>
    <font>
      <b/>
      <sz val="11"/>
      <color rgb="FFFF0000"/>
      <name val="맑은 고딕"/>
      <family val="2"/>
      <scheme val="minor"/>
    </font>
    <font>
      <vertAlign val="superscript"/>
      <sz val="11"/>
      <name val="Calibri"/>
      <family val="2"/>
    </font>
    <font>
      <b/>
      <sz val="11"/>
      <color rgb="FFC00000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color rgb="FF202122"/>
      <name val="Arial"/>
      <family val="2"/>
    </font>
    <font>
      <sz val="11"/>
      <color rgb="FF747474"/>
      <name val="Verdana"/>
      <family val="2"/>
    </font>
    <font>
      <i/>
      <sz val="1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theme="0" tint="-0.14999847407452621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9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4" fillId="0" borderId="0"/>
    <xf numFmtId="0" fontId="3" fillId="0" borderId="0"/>
    <xf numFmtId="176" fontId="3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</cellStyleXfs>
  <cellXfs count="604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178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8" fontId="7" fillId="0" borderId="0" xfId="0" applyNumberFormat="1" applyFont="1">
      <alignment vertical="center"/>
    </xf>
    <xf numFmtId="2" fontId="7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178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78" fontId="9" fillId="0" borderId="0" xfId="0" applyNumberFormat="1" applyFont="1">
      <alignment vertical="center"/>
    </xf>
    <xf numFmtId="2" fontId="9" fillId="0" borderId="0" xfId="0" applyNumberFormat="1" applyFont="1">
      <alignment vertical="center"/>
    </xf>
    <xf numFmtId="179" fontId="9" fillId="0" borderId="0" xfId="0" applyNumberFormat="1" applyFont="1">
      <alignment vertical="center"/>
    </xf>
    <xf numFmtId="179" fontId="6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2" fontId="6" fillId="0" borderId="0" xfId="0" applyNumberFormat="1" applyFont="1">
      <alignment vertical="center"/>
    </xf>
    <xf numFmtId="0" fontId="11" fillId="0" borderId="0" xfId="0" applyFont="1">
      <alignment vertical="center"/>
    </xf>
    <xf numFmtId="2" fontId="11" fillId="0" borderId="0" xfId="0" applyNumberFormat="1" applyFont="1" applyAlignment="1">
      <alignment horizontal="right" vertical="center"/>
    </xf>
    <xf numFmtId="178" fontId="11" fillId="0" borderId="0" xfId="0" applyNumberFormat="1" applyFont="1">
      <alignment vertical="center"/>
    </xf>
    <xf numFmtId="181" fontId="11" fillId="0" borderId="0" xfId="0" applyNumberFormat="1" applyFont="1">
      <alignment vertical="center"/>
    </xf>
    <xf numFmtId="180" fontId="11" fillId="0" borderId="0" xfId="0" applyNumberFormat="1" applyFont="1">
      <alignment vertical="center"/>
    </xf>
    <xf numFmtId="178" fontId="11" fillId="0" borderId="0" xfId="0" applyNumberFormat="1" applyFont="1" applyAlignment="1">
      <alignment horizontal="right" vertical="center"/>
    </xf>
    <xf numFmtId="0" fontId="11" fillId="0" borderId="6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2" xfId="0" applyFont="1" applyBorder="1">
      <alignment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right"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11" fontId="0" fillId="0" borderId="0" xfId="0" applyNumberFormat="1">
      <alignment vertical="center"/>
    </xf>
    <xf numFmtId="0" fontId="17" fillId="0" borderId="0" xfId="0" applyFont="1">
      <alignment vertical="center"/>
    </xf>
    <xf numFmtId="11" fontId="15" fillId="0" borderId="0" xfId="0" applyNumberFormat="1" applyFont="1">
      <alignment vertical="center"/>
    </xf>
    <xf numFmtId="15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4" fontId="0" fillId="2" borderId="0" xfId="0" applyNumberFormat="1" applyFill="1">
      <alignment vertical="center"/>
    </xf>
    <xf numFmtId="0" fontId="16" fillId="2" borderId="0" xfId="0" applyFont="1" applyFill="1">
      <alignment vertical="center"/>
    </xf>
    <xf numFmtId="178" fontId="16" fillId="2" borderId="0" xfId="0" applyNumberFormat="1" applyFont="1" applyFill="1">
      <alignment vertical="center"/>
    </xf>
    <xf numFmtId="178" fontId="0" fillId="2" borderId="0" xfId="0" applyNumberFormat="1" applyFill="1">
      <alignment vertical="center"/>
    </xf>
    <xf numFmtId="182" fontId="16" fillId="2" borderId="0" xfId="0" applyNumberFormat="1" applyFont="1" applyFill="1">
      <alignment vertical="center"/>
    </xf>
    <xf numFmtId="182" fontId="0" fillId="2" borderId="0" xfId="0" applyNumberFormat="1" applyFill="1">
      <alignment vertical="center"/>
    </xf>
    <xf numFmtId="10" fontId="0" fillId="2" borderId="0" xfId="1" applyNumberFormat="1" applyFont="1" applyFill="1" applyBorder="1" applyAlignment="1">
      <alignment vertical="center"/>
    </xf>
    <xf numFmtId="0" fontId="15" fillId="0" borderId="1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1" xfId="0" applyFill="1" applyBorder="1">
      <alignment vertical="center"/>
    </xf>
    <xf numFmtId="0" fontId="0" fillId="2" borderId="10" xfId="0" applyFill="1" applyBorder="1">
      <alignment vertical="center"/>
    </xf>
    <xf numFmtId="0" fontId="16" fillId="2" borderId="5" xfId="0" applyFont="1" applyFill="1" applyBorder="1">
      <alignment vertical="center"/>
    </xf>
    <xf numFmtId="178" fontId="16" fillId="2" borderId="6" xfId="0" applyNumberFormat="1" applyFont="1" applyFill="1" applyBorder="1">
      <alignment vertical="center"/>
    </xf>
    <xf numFmtId="0" fontId="0" fillId="2" borderId="5" xfId="0" applyFill="1" applyBorder="1">
      <alignment vertical="center"/>
    </xf>
    <xf numFmtId="178" fontId="0" fillId="2" borderId="6" xfId="0" applyNumberFormat="1" applyFill="1" applyBorder="1">
      <alignment vertical="center"/>
    </xf>
    <xf numFmtId="10" fontId="0" fillId="2" borderId="6" xfId="1" applyNumberFormat="1" applyFont="1" applyFill="1" applyBorder="1" applyAlignment="1">
      <alignment vertical="center"/>
    </xf>
    <xf numFmtId="0" fontId="0" fillId="2" borderId="3" xfId="0" applyFill="1" applyBorder="1">
      <alignment vertical="center"/>
    </xf>
    <xf numFmtId="0" fontId="0" fillId="2" borderId="11" xfId="0" applyFill="1" applyBorder="1">
      <alignment vertical="center"/>
    </xf>
    <xf numFmtId="178" fontId="0" fillId="2" borderId="11" xfId="0" applyNumberFormat="1" applyFill="1" applyBorder="1">
      <alignment vertical="center"/>
    </xf>
    <xf numFmtId="178" fontId="0" fillId="2" borderId="4" xfId="0" applyNumberFormat="1" applyFill="1" applyBorder="1">
      <alignment vertical="center"/>
    </xf>
    <xf numFmtId="0" fontId="0" fillId="0" borderId="3" xfId="0" applyBorder="1">
      <alignment vertical="center"/>
    </xf>
    <xf numFmtId="0" fontId="0" fillId="0" borderId="11" xfId="0" applyBorder="1">
      <alignment vertical="center"/>
    </xf>
    <xf numFmtId="0" fontId="0" fillId="0" borderId="4" xfId="0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0" fillId="5" borderId="10" xfId="0" applyFill="1" applyBorder="1">
      <alignment vertical="center"/>
    </xf>
    <xf numFmtId="0" fontId="16" fillId="5" borderId="10" xfId="0" applyFont="1" applyFill="1" applyBorder="1" applyAlignment="1">
      <alignment horizontal="right" vertical="center"/>
    </xf>
    <xf numFmtId="0" fontId="16" fillId="5" borderId="2" xfId="0" applyFont="1" applyFill="1" applyBorder="1">
      <alignment vertical="center"/>
    </xf>
    <xf numFmtId="185" fontId="0" fillId="0" borderId="0" xfId="2" applyNumberFormat="1" applyFont="1" applyAlignment="1">
      <alignment vertical="center"/>
    </xf>
    <xf numFmtId="0" fontId="15" fillId="4" borderId="5" xfId="0" applyFont="1" applyFill="1" applyBorder="1">
      <alignment vertical="center"/>
    </xf>
    <xf numFmtId="0" fontId="0" fillId="4" borderId="0" xfId="0" applyFill="1">
      <alignment vertical="center"/>
    </xf>
    <xf numFmtId="2" fontId="15" fillId="4" borderId="0" xfId="0" applyNumberFormat="1" applyFont="1" applyFill="1" applyAlignment="1"/>
    <xf numFmtId="2" fontId="15" fillId="4" borderId="6" xfId="0" applyNumberFormat="1" applyFont="1" applyFill="1" applyBorder="1" applyAlignment="1"/>
    <xf numFmtId="0" fontId="15" fillId="4" borderId="0" xfId="0" applyFont="1" applyFill="1">
      <alignment vertical="center"/>
    </xf>
    <xf numFmtId="178" fontId="15" fillId="4" borderId="0" xfId="0" applyNumberFormat="1" applyFont="1" applyFill="1">
      <alignment vertical="center"/>
    </xf>
    <xf numFmtId="184" fontId="15" fillId="4" borderId="6" xfId="2" applyNumberFormat="1" applyFont="1" applyFill="1" applyBorder="1" applyAlignment="1">
      <alignment vertical="center"/>
    </xf>
    <xf numFmtId="178" fontId="15" fillId="4" borderId="6" xfId="0" applyNumberFormat="1" applyFont="1" applyFill="1" applyBorder="1">
      <alignment vertical="center"/>
    </xf>
    <xf numFmtId="0" fontId="9" fillId="4" borderId="0" xfId="0" applyFont="1" applyFill="1">
      <alignment vertical="center"/>
    </xf>
    <xf numFmtId="178" fontId="0" fillId="4" borderId="0" xfId="0" applyNumberFormat="1" applyFill="1">
      <alignment vertical="center"/>
    </xf>
    <xf numFmtId="178" fontId="0" fillId="4" borderId="6" xfId="0" applyNumberFormat="1" applyFill="1" applyBorder="1">
      <alignment vertical="center"/>
    </xf>
    <xf numFmtId="0" fontId="18" fillId="4" borderId="0" xfId="0" applyFont="1" applyFill="1">
      <alignment vertical="center"/>
    </xf>
    <xf numFmtId="0" fontId="0" fillId="4" borderId="5" xfId="0" applyFill="1" applyBorder="1">
      <alignment vertical="center"/>
    </xf>
    <xf numFmtId="0" fontId="0" fillId="4" borderId="3" xfId="0" applyFill="1" applyBorder="1">
      <alignment vertical="center"/>
    </xf>
    <xf numFmtId="0" fontId="9" fillId="4" borderId="11" xfId="0" applyFont="1" applyFill="1" applyBorder="1">
      <alignment vertical="center"/>
    </xf>
    <xf numFmtId="0" fontId="0" fillId="4" borderId="11" xfId="0" applyFill="1" applyBorder="1">
      <alignment vertical="center"/>
    </xf>
    <xf numFmtId="178" fontId="0" fillId="4" borderId="11" xfId="0" applyNumberFormat="1" applyFill="1" applyBorder="1">
      <alignment vertical="center"/>
    </xf>
    <xf numFmtId="178" fontId="0" fillId="4" borderId="4" xfId="0" applyNumberFormat="1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16" fillId="5" borderId="13" xfId="0" applyFont="1" applyFill="1" applyBorder="1" applyAlignment="1">
      <alignment horizontal="right" vertical="center"/>
    </xf>
    <xf numFmtId="0" fontId="16" fillId="5" borderId="14" xfId="0" applyFont="1" applyFill="1" applyBorder="1">
      <alignment vertical="center"/>
    </xf>
    <xf numFmtId="185" fontId="0" fillId="2" borderId="2" xfId="2" applyNumberFormat="1" applyFont="1" applyFill="1" applyBorder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indent="1"/>
    </xf>
    <xf numFmtId="0" fontId="0" fillId="2" borderId="5" xfId="0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7" borderId="10" xfId="0" applyFill="1" applyBorder="1">
      <alignment vertical="center"/>
    </xf>
    <xf numFmtId="183" fontId="0" fillId="7" borderId="2" xfId="1" applyNumberFormat="1" applyFont="1" applyFill="1" applyBorder="1" applyAlignment="1">
      <alignment vertical="center"/>
    </xf>
    <xf numFmtId="0" fontId="0" fillId="7" borderId="5" xfId="0" applyFill="1" applyBorder="1">
      <alignment vertical="center"/>
    </xf>
    <xf numFmtId="0" fontId="0" fillId="7" borderId="0" xfId="0" applyFill="1">
      <alignment vertical="center"/>
    </xf>
    <xf numFmtId="183" fontId="0" fillId="7" borderId="6" xfId="1" applyNumberFormat="1" applyFont="1" applyFill="1" applyBorder="1" applyAlignment="1">
      <alignment vertical="center"/>
    </xf>
    <xf numFmtId="0" fontId="0" fillId="7" borderId="3" xfId="0" applyFill="1" applyBorder="1">
      <alignment vertical="center"/>
    </xf>
    <xf numFmtId="0" fontId="0" fillId="7" borderId="11" xfId="0" applyFill="1" applyBorder="1">
      <alignment vertical="center"/>
    </xf>
    <xf numFmtId="183" fontId="0" fillId="7" borderId="4" xfId="1" applyNumberFormat="1" applyFont="1" applyFill="1" applyBorder="1" applyAlignment="1">
      <alignment vertical="center"/>
    </xf>
    <xf numFmtId="0" fontId="0" fillId="9" borderId="1" xfId="0" applyFill="1" applyBorder="1">
      <alignment vertical="center"/>
    </xf>
    <xf numFmtId="0" fontId="0" fillId="9" borderId="10" xfId="0" applyFill="1" applyBorder="1">
      <alignment vertical="center"/>
    </xf>
    <xf numFmtId="183" fontId="0" fillId="9" borderId="2" xfId="1" applyNumberFormat="1" applyFont="1" applyFill="1" applyBorder="1" applyAlignment="1">
      <alignment vertical="center"/>
    </xf>
    <xf numFmtId="0" fontId="0" fillId="9" borderId="11" xfId="0" applyFill="1" applyBorder="1">
      <alignment vertical="center"/>
    </xf>
    <xf numFmtId="0" fontId="0" fillId="9" borderId="0" xfId="0" applyFill="1">
      <alignment vertical="center"/>
    </xf>
    <xf numFmtId="0" fontId="0" fillId="9" borderId="5" xfId="0" applyFill="1" applyBorder="1">
      <alignment vertical="center"/>
    </xf>
    <xf numFmtId="183" fontId="0" fillId="9" borderId="6" xfId="1" applyNumberFormat="1" applyFont="1" applyFill="1" applyBorder="1" applyAlignment="1">
      <alignment vertical="center"/>
    </xf>
    <xf numFmtId="0" fontId="0" fillId="9" borderId="6" xfId="0" applyFill="1" applyBorder="1">
      <alignment vertical="center"/>
    </xf>
    <xf numFmtId="0" fontId="9" fillId="9" borderId="5" xfId="0" applyFont="1" applyFill="1" applyBorder="1">
      <alignment vertical="center"/>
    </xf>
    <xf numFmtId="0" fontId="0" fillId="9" borderId="4" xfId="0" applyFill="1" applyBorder="1">
      <alignment vertical="center"/>
    </xf>
    <xf numFmtId="0" fontId="0" fillId="4" borderId="1" xfId="0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5" xfId="0" applyFont="1" applyFill="1" applyBorder="1">
      <alignment vertical="center"/>
    </xf>
    <xf numFmtId="0" fontId="9" fillId="4" borderId="6" xfId="0" applyFont="1" applyFill="1" applyBorder="1">
      <alignment vertical="center"/>
    </xf>
    <xf numFmtId="0" fontId="9" fillId="4" borderId="6" xfId="0" quotePrefix="1" applyFont="1" applyFill="1" applyBorder="1" applyAlignment="1">
      <alignment horizontal="right" vertical="center"/>
    </xf>
    <xf numFmtId="0" fontId="9" fillId="4" borderId="3" xfId="0" applyFont="1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10" xfId="0" applyFill="1" applyBorder="1">
      <alignment vertical="center"/>
    </xf>
    <xf numFmtId="185" fontId="0" fillId="2" borderId="6" xfId="2" applyNumberFormat="1" applyFont="1" applyFill="1" applyBorder="1" applyAlignment="1">
      <alignment vertical="center"/>
    </xf>
    <xf numFmtId="185" fontId="0" fillId="2" borderId="4" xfId="2" applyNumberFormat="1" applyFont="1" applyFill="1" applyBorder="1" applyAlignment="1">
      <alignment vertical="center"/>
    </xf>
    <xf numFmtId="0" fontId="22" fillId="9" borderId="0" xfId="0" applyFont="1" applyFill="1">
      <alignment vertical="center"/>
    </xf>
    <xf numFmtId="0" fontId="22" fillId="9" borderId="5" xfId="0" applyFont="1" applyFill="1" applyBorder="1">
      <alignment vertic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3" fontId="0" fillId="0" borderId="0" xfId="1" applyNumberFormat="1" applyFont="1" applyFill="1" applyBorder="1" applyAlignment="1">
      <alignment vertical="center"/>
    </xf>
    <xf numFmtId="0" fontId="26" fillId="0" borderId="0" xfId="0" applyFont="1">
      <alignment vertical="center"/>
    </xf>
    <xf numFmtId="0" fontId="22" fillId="2" borderId="5" xfId="0" applyFont="1" applyFill="1" applyBorder="1">
      <alignment vertical="center"/>
    </xf>
    <xf numFmtId="0" fontId="22" fillId="2" borderId="3" xfId="0" applyFont="1" applyFill="1" applyBorder="1">
      <alignment vertical="center"/>
    </xf>
    <xf numFmtId="185" fontId="22" fillId="9" borderId="6" xfId="2" applyNumberFormat="1" applyFont="1" applyFill="1" applyBorder="1" applyAlignment="1">
      <alignment vertical="center"/>
    </xf>
    <xf numFmtId="185" fontId="15" fillId="5" borderId="14" xfId="2" applyNumberFormat="1" applyFont="1" applyFill="1" applyBorder="1" applyAlignment="1">
      <alignment vertical="center"/>
    </xf>
    <xf numFmtId="0" fontId="15" fillId="5" borderId="2" xfId="0" applyFont="1" applyFill="1" applyBorder="1">
      <alignment vertical="center"/>
    </xf>
    <xf numFmtId="11" fontId="22" fillId="2" borderId="0" xfId="0" applyNumberFormat="1" applyFont="1" applyFill="1" applyAlignment="1">
      <alignment horizontal="right" vertical="center"/>
    </xf>
    <xf numFmtId="11" fontId="22" fillId="2" borderId="11" xfId="0" applyNumberFormat="1" applyFont="1" applyFill="1" applyBorder="1" applyAlignment="1">
      <alignment horizontal="right" vertical="center"/>
    </xf>
    <xf numFmtId="185" fontId="22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85" fontId="0" fillId="2" borderId="0" xfId="2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/>
    </xf>
    <xf numFmtId="185" fontId="22" fillId="2" borderId="11" xfId="2" applyNumberFormat="1" applyFon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185" fontId="0" fillId="2" borderId="11" xfId="2" applyNumberFormat="1" applyFont="1" applyFill="1" applyBorder="1" applyAlignment="1">
      <alignment horizontal="right" vertical="center"/>
    </xf>
    <xf numFmtId="0" fontId="0" fillId="5" borderId="15" xfId="0" applyFill="1" applyBorder="1">
      <alignment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6" fillId="2" borderId="1" xfId="0" applyFont="1" applyFill="1" applyBorder="1">
      <alignment vertical="center"/>
    </xf>
    <xf numFmtId="0" fontId="16" fillId="2" borderId="10" xfId="0" applyFont="1" applyFill="1" applyBorder="1">
      <alignment vertical="center"/>
    </xf>
    <xf numFmtId="178" fontId="16" fillId="2" borderId="10" xfId="0" applyNumberFormat="1" applyFont="1" applyFill="1" applyBorder="1">
      <alignment vertical="center"/>
    </xf>
    <xf numFmtId="11" fontId="0" fillId="2" borderId="11" xfId="0" applyNumberFormat="1" applyFill="1" applyBorder="1">
      <alignment vertical="center"/>
    </xf>
    <xf numFmtId="11" fontId="0" fillId="2" borderId="4" xfId="0" applyNumberFormat="1" applyFill="1" applyBorder="1">
      <alignment vertical="center"/>
    </xf>
    <xf numFmtId="176" fontId="0" fillId="0" borderId="0" xfId="2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0" xfId="0" applyBorder="1">
      <alignment vertical="center"/>
    </xf>
    <xf numFmtId="185" fontId="0" fillId="0" borderId="2" xfId="2" applyNumberFormat="1" applyFont="1" applyBorder="1" applyAlignment="1">
      <alignment vertical="center"/>
    </xf>
    <xf numFmtId="3" fontId="23" fillId="0" borderId="5" xfId="0" applyNumberFormat="1" applyFont="1" applyBorder="1" applyAlignment="1"/>
    <xf numFmtId="176" fontId="23" fillId="0" borderId="6" xfId="2" applyFont="1" applyFill="1" applyBorder="1" applyAlignment="1" applyProtection="1">
      <protection locked="0"/>
    </xf>
    <xf numFmtId="185" fontId="23" fillId="0" borderId="6" xfId="2" applyNumberFormat="1" applyFont="1" applyFill="1" applyBorder="1" applyAlignment="1" applyProtection="1">
      <protection locked="0"/>
    </xf>
    <xf numFmtId="176" fontId="23" fillId="0" borderId="6" xfId="2" applyFont="1" applyFill="1" applyBorder="1" applyAlignment="1"/>
    <xf numFmtId="3" fontId="23" fillId="0" borderId="3" xfId="0" applyNumberFormat="1" applyFont="1" applyBorder="1" applyAlignment="1"/>
    <xf numFmtId="0" fontId="0" fillId="0" borderId="5" xfId="0" applyBorder="1" applyAlignment="1">
      <alignment horizontal="left" vertical="center" indent="1"/>
    </xf>
    <xf numFmtId="0" fontId="15" fillId="0" borderId="11" xfId="0" applyFont="1" applyBorder="1">
      <alignment vertical="center"/>
    </xf>
    <xf numFmtId="11" fontId="15" fillId="0" borderId="11" xfId="0" applyNumberFormat="1" applyFont="1" applyBorder="1">
      <alignment vertical="center"/>
    </xf>
    <xf numFmtId="2" fontId="0" fillId="0" borderId="0" xfId="0" applyNumberFormat="1">
      <alignment vertical="center"/>
    </xf>
    <xf numFmtId="185" fontId="0" fillId="0" borderId="6" xfId="2" applyNumberFormat="1" applyFont="1" applyBorder="1" applyAlignment="1">
      <alignment vertical="center"/>
    </xf>
    <xf numFmtId="0" fontId="15" fillId="0" borderId="5" xfId="0" applyFont="1" applyBorder="1">
      <alignment vertical="center"/>
    </xf>
    <xf numFmtId="0" fontId="30" fillId="0" borderId="0" xfId="0" applyFont="1">
      <alignment vertical="center"/>
    </xf>
    <xf numFmtId="0" fontId="22" fillId="0" borderId="1" xfId="0" applyFont="1" applyBorder="1">
      <alignment vertical="center"/>
    </xf>
    <xf numFmtId="0" fontId="22" fillId="0" borderId="10" xfId="0" applyFont="1" applyBorder="1">
      <alignment vertical="center"/>
    </xf>
    <xf numFmtId="185" fontId="22" fillId="0" borderId="2" xfId="2" applyNumberFormat="1" applyFont="1" applyBorder="1" applyAlignment="1">
      <alignment vertical="center"/>
    </xf>
    <xf numFmtId="178" fontId="0" fillId="0" borderId="0" xfId="0" applyNumberFormat="1">
      <alignment vertical="center"/>
    </xf>
    <xf numFmtId="0" fontId="15" fillId="0" borderId="3" xfId="0" applyFont="1" applyBorder="1">
      <alignment vertical="center"/>
    </xf>
    <xf numFmtId="185" fontId="15" fillId="0" borderId="4" xfId="2" applyNumberFormat="1" applyFont="1" applyBorder="1" applyAlignment="1">
      <alignment vertical="center"/>
    </xf>
    <xf numFmtId="178" fontId="16" fillId="2" borderId="2" xfId="0" applyNumberFormat="1" applyFont="1" applyFill="1" applyBorder="1">
      <alignment vertical="center"/>
    </xf>
    <xf numFmtId="0" fontId="0" fillId="9" borderId="3" xfId="0" applyFill="1" applyBorder="1">
      <alignment vertical="center"/>
    </xf>
    <xf numFmtId="185" fontId="0" fillId="9" borderId="11" xfId="2" applyNumberFormat="1" applyFont="1" applyFill="1" applyBorder="1" applyAlignment="1">
      <alignment vertical="center"/>
    </xf>
    <xf numFmtId="185" fontId="0" fillId="9" borderId="4" xfId="2" applyNumberFormat="1" applyFont="1" applyFill="1" applyBorder="1" applyAlignment="1">
      <alignment vertical="center"/>
    </xf>
    <xf numFmtId="0" fontId="31" fillId="0" borderId="0" xfId="0" applyFont="1">
      <alignment vertical="center"/>
    </xf>
    <xf numFmtId="185" fontId="0" fillId="0" borderId="0" xfId="2" applyNumberFormat="1" applyFont="1" applyFill="1" applyAlignment="1">
      <alignment vertical="center"/>
    </xf>
    <xf numFmtId="185" fontId="23" fillId="0" borderId="6" xfId="2" applyNumberFormat="1" applyFont="1" applyFill="1" applyBorder="1" applyAlignment="1"/>
    <xf numFmtId="9" fontId="0" fillId="0" borderId="4" xfId="1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left" vertical="center" indent="1"/>
    </xf>
    <xf numFmtId="0" fontId="0" fillId="9" borderId="5" xfId="0" applyFill="1" applyBorder="1" applyAlignment="1">
      <alignment horizontal="left" vertical="center"/>
    </xf>
    <xf numFmtId="0" fontId="0" fillId="4" borderId="2" xfId="0" applyFill="1" applyBorder="1" applyAlignment="1">
      <alignment horizontal="right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right" vertical="center"/>
    </xf>
    <xf numFmtId="0" fontId="0" fillId="4" borderId="4" xfId="2" applyNumberFormat="1" applyFont="1" applyFill="1" applyBorder="1" applyAlignment="1">
      <alignment horizontal="right" vertical="center"/>
    </xf>
    <xf numFmtId="49" fontId="21" fillId="4" borderId="5" xfId="0" applyNumberFormat="1" applyFont="1" applyFill="1" applyBorder="1" applyAlignment="1"/>
    <xf numFmtId="176" fontId="15" fillId="4" borderId="6" xfId="2" applyFont="1" applyFill="1" applyBorder="1"/>
    <xf numFmtId="49" fontId="23" fillId="4" borderId="5" xfId="0" applyNumberFormat="1" applyFont="1" applyFill="1" applyBorder="1" applyAlignment="1">
      <alignment horizontal="left"/>
    </xf>
    <xf numFmtId="0" fontId="22" fillId="4" borderId="0" xfId="0" applyFont="1" applyFill="1">
      <alignment vertical="center"/>
    </xf>
    <xf numFmtId="176" fontId="22" fillId="4" borderId="6" xfId="2" applyFont="1" applyFill="1" applyBorder="1"/>
    <xf numFmtId="49" fontId="23" fillId="4" borderId="5" xfId="0" applyNumberFormat="1" applyFont="1" applyFill="1" applyBorder="1" applyAlignment="1">
      <alignment horizontal="left" indent="1"/>
    </xf>
    <xf numFmtId="49" fontId="23" fillId="4" borderId="3" xfId="0" applyNumberFormat="1" applyFont="1" applyFill="1" applyBorder="1" applyAlignment="1">
      <alignment horizontal="left" indent="1"/>
    </xf>
    <xf numFmtId="176" fontId="22" fillId="4" borderId="4" xfId="2" applyFont="1" applyFill="1" applyBorder="1"/>
    <xf numFmtId="185" fontId="0" fillId="0" borderId="0" xfId="0" applyNumberFormat="1">
      <alignment vertical="center"/>
    </xf>
    <xf numFmtId="0" fontId="22" fillId="0" borderId="0" xfId="0" applyFont="1" applyAlignment="1">
      <alignment horizontal="center" vertical="center"/>
    </xf>
    <xf numFmtId="186" fontId="0" fillId="0" borderId="0" xfId="2" applyNumberFormat="1" applyFont="1" applyFill="1" applyBorder="1" applyAlignment="1">
      <alignment horizontal="right" vertical="center"/>
    </xf>
    <xf numFmtId="185" fontId="0" fillId="0" borderId="0" xfId="0" applyNumberFormat="1" applyAlignment="1">
      <alignment horizontal="right" vertical="center"/>
    </xf>
    <xf numFmtId="49" fontId="21" fillId="9" borderId="1" xfId="0" applyNumberFormat="1" applyFont="1" applyFill="1" applyBorder="1" applyAlignment="1"/>
    <xf numFmtId="185" fontId="15" fillId="9" borderId="2" xfId="2" applyNumberFormat="1" applyFont="1" applyFill="1" applyBorder="1" applyAlignment="1">
      <alignment vertical="center"/>
    </xf>
    <xf numFmtId="49" fontId="23" fillId="9" borderId="5" xfId="0" applyNumberFormat="1" applyFont="1" applyFill="1" applyBorder="1" applyAlignment="1">
      <alignment horizontal="left"/>
    </xf>
    <xf numFmtId="185" fontId="0" fillId="9" borderId="6" xfId="2" applyNumberFormat="1" applyFont="1" applyFill="1" applyBorder="1" applyAlignment="1">
      <alignment vertical="center"/>
    </xf>
    <xf numFmtId="49" fontId="23" fillId="9" borderId="5" xfId="0" applyNumberFormat="1" applyFont="1" applyFill="1" applyBorder="1" applyAlignment="1">
      <alignment horizontal="left" indent="1"/>
    </xf>
    <xf numFmtId="49" fontId="21" fillId="9" borderId="5" xfId="0" applyNumberFormat="1" applyFont="1" applyFill="1" applyBorder="1" applyAlignment="1">
      <alignment horizontal="left"/>
    </xf>
    <xf numFmtId="185" fontId="15" fillId="9" borderId="6" xfId="2" applyNumberFormat="1" applyFont="1" applyFill="1" applyBorder="1" applyAlignment="1">
      <alignment vertical="center"/>
    </xf>
    <xf numFmtId="49" fontId="23" fillId="9" borderId="5" xfId="0" applyNumberFormat="1" applyFont="1" applyFill="1" applyBorder="1" applyAlignment="1"/>
    <xf numFmtId="0" fontId="0" fillId="9" borderId="5" xfId="0" applyFill="1" applyBorder="1" applyAlignment="1">
      <alignment horizontal="left" vertical="center" indent="1"/>
    </xf>
    <xf numFmtId="0" fontId="15" fillId="9" borderId="5" xfId="0" applyFont="1" applyFill="1" applyBorder="1">
      <alignment vertical="center"/>
    </xf>
    <xf numFmtId="0" fontId="15" fillId="9" borderId="0" xfId="0" applyFont="1" applyFill="1">
      <alignment vertical="center"/>
    </xf>
    <xf numFmtId="3" fontId="23" fillId="9" borderId="0" xfId="0" applyNumberFormat="1" applyFont="1" applyFill="1" applyAlignment="1"/>
    <xf numFmtId="0" fontId="22" fillId="9" borderId="3" xfId="0" applyFont="1" applyFill="1" applyBorder="1">
      <alignment vertical="center"/>
    </xf>
    <xf numFmtId="3" fontId="23" fillId="9" borderId="11" xfId="0" applyNumberFormat="1" applyFont="1" applyFill="1" applyBorder="1" applyAlignment="1"/>
    <xf numFmtId="3" fontId="21" fillId="9" borderId="1" xfId="0" applyNumberFormat="1" applyFont="1" applyFill="1" applyBorder="1" applyAlignment="1"/>
    <xf numFmtId="0" fontId="15" fillId="9" borderId="10" xfId="0" applyFont="1" applyFill="1" applyBorder="1">
      <alignment vertical="center"/>
    </xf>
    <xf numFmtId="0" fontId="0" fillId="9" borderId="2" xfId="0" applyFill="1" applyBorder="1">
      <alignment vertical="center"/>
    </xf>
    <xf numFmtId="3" fontId="23" fillId="9" borderId="5" xfId="0" applyNumberFormat="1" applyFont="1" applyFill="1" applyBorder="1" applyAlignment="1"/>
    <xf numFmtId="182" fontId="0" fillId="9" borderId="0" xfId="0" applyNumberFormat="1" applyFill="1">
      <alignment vertical="center"/>
    </xf>
    <xf numFmtId="11" fontId="0" fillId="9" borderId="0" xfId="0" applyNumberFormat="1" applyFill="1">
      <alignment vertical="center"/>
    </xf>
    <xf numFmtId="2" fontId="0" fillId="9" borderId="0" xfId="0" applyNumberFormat="1" applyFill="1">
      <alignment vertical="center"/>
    </xf>
    <xf numFmtId="3" fontId="23" fillId="9" borderId="3" xfId="0" applyNumberFormat="1" applyFont="1" applyFill="1" applyBorder="1" applyAlignment="1"/>
    <xf numFmtId="11" fontId="0" fillId="9" borderId="11" xfId="0" applyNumberFormat="1" applyFill="1" applyBorder="1">
      <alignment vertical="center"/>
    </xf>
    <xf numFmtId="2" fontId="0" fillId="9" borderId="11" xfId="0" applyNumberFormat="1" applyFill="1" applyBorder="1">
      <alignment vertical="center"/>
    </xf>
    <xf numFmtId="178" fontId="0" fillId="9" borderId="10" xfId="0" applyNumberFormat="1" applyFill="1" applyBorder="1">
      <alignment vertical="center"/>
    </xf>
    <xf numFmtId="178" fontId="0" fillId="9" borderId="0" xfId="0" applyNumberFormat="1" applyFill="1">
      <alignment vertical="center"/>
    </xf>
    <xf numFmtId="178" fontId="0" fillId="9" borderId="11" xfId="0" applyNumberFormat="1" applyFill="1" applyBorder="1">
      <alignment vertical="center"/>
    </xf>
    <xf numFmtId="0" fontId="15" fillId="0" borderId="2" xfId="0" applyFon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183" fontId="0" fillId="0" borderId="0" xfId="1" applyNumberFormat="1" applyFont="1" applyBorder="1" applyAlignment="1">
      <alignment vertical="center"/>
    </xf>
    <xf numFmtId="185" fontId="0" fillId="11" borderId="1" xfId="2" applyNumberFormat="1" applyFont="1" applyFill="1" applyBorder="1" applyAlignment="1">
      <alignment vertical="center"/>
    </xf>
    <xf numFmtId="0" fontId="0" fillId="11" borderId="10" xfId="0" applyFill="1" applyBorder="1">
      <alignment vertical="center"/>
    </xf>
    <xf numFmtId="185" fontId="0" fillId="11" borderId="5" xfId="2" applyNumberFormat="1" applyFont="1" applyFill="1" applyBorder="1" applyAlignment="1">
      <alignment vertical="center"/>
    </xf>
    <xf numFmtId="0" fontId="0" fillId="11" borderId="0" xfId="0" applyFill="1">
      <alignment vertical="center"/>
    </xf>
    <xf numFmtId="9" fontId="0" fillId="11" borderId="0" xfId="0" applyNumberFormat="1" applyFill="1">
      <alignment vertical="center"/>
    </xf>
    <xf numFmtId="9" fontId="0" fillId="11" borderId="6" xfId="0" applyNumberFormat="1" applyFill="1" applyBorder="1">
      <alignment vertical="center"/>
    </xf>
    <xf numFmtId="184" fontId="0" fillId="11" borderId="0" xfId="2" applyNumberFormat="1" applyFont="1" applyFill="1" applyBorder="1" applyAlignment="1">
      <alignment vertical="center"/>
    </xf>
    <xf numFmtId="2" fontId="0" fillId="11" borderId="0" xfId="0" applyNumberFormat="1" applyFill="1">
      <alignment vertical="center"/>
    </xf>
    <xf numFmtId="185" fontId="0" fillId="11" borderId="3" xfId="2" applyNumberFormat="1" applyFont="1" applyFill="1" applyBorder="1" applyAlignment="1">
      <alignment vertical="center"/>
    </xf>
    <xf numFmtId="0" fontId="0" fillId="11" borderId="11" xfId="0" applyFill="1" applyBorder="1">
      <alignment vertical="center"/>
    </xf>
    <xf numFmtId="184" fontId="0" fillId="11" borderId="11" xfId="2" applyNumberFormat="1" applyFont="1" applyFill="1" applyBorder="1" applyAlignment="1">
      <alignment vertical="center"/>
    </xf>
    <xf numFmtId="2" fontId="0" fillId="11" borderId="11" xfId="0" applyNumberFormat="1" applyFill="1" applyBorder="1">
      <alignment vertical="center"/>
    </xf>
    <xf numFmtId="185" fontId="0" fillId="10" borderId="1" xfId="2" applyNumberFormat="1" applyFont="1" applyFill="1" applyBorder="1" applyAlignment="1">
      <alignment vertical="center"/>
    </xf>
    <xf numFmtId="0" fontId="0" fillId="10" borderId="10" xfId="0" applyFill="1" applyBorder="1">
      <alignment vertical="center"/>
    </xf>
    <xf numFmtId="176" fontId="0" fillId="10" borderId="2" xfId="2" applyFont="1" applyFill="1" applyBorder="1" applyAlignment="1">
      <alignment vertical="center"/>
    </xf>
    <xf numFmtId="185" fontId="0" fillId="10" borderId="3" xfId="2" applyNumberFormat="1" applyFont="1" applyFill="1" applyBorder="1" applyAlignment="1">
      <alignment vertical="center"/>
    </xf>
    <xf numFmtId="0" fontId="0" fillId="10" borderId="11" xfId="0" applyFill="1" applyBorder="1">
      <alignment vertical="center"/>
    </xf>
    <xf numFmtId="176" fontId="0" fillId="10" borderId="4" xfId="2" applyFont="1" applyFill="1" applyBorder="1" applyAlignment="1">
      <alignment vertical="center"/>
    </xf>
    <xf numFmtId="10" fontId="0" fillId="11" borderId="0" xfId="1" applyNumberFormat="1" applyFont="1" applyFill="1" applyBorder="1" applyAlignment="1">
      <alignment vertical="center"/>
    </xf>
    <xf numFmtId="10" fontId="0" fillId="11" borderId="6" xfId="1" applyNumberFormat="1" applyFont="1" applyFill="1" applyBorder="1" applyAlignment="1">
      <alignment vertical="center"/>
    </xf>
    <xf numFmtId="10" fontId="0" fillId="11" borderId="11" xfId="1" applyNumberFormat="1" applyFont="1" applyFill="1" applyBorder="1" applyAlignment="1">
      <alignment vertical="center"/>
    </xf>
    <xf numFmtId="10" fontId="0" fillId="11" borderId="4" xfId="1" applyNumberFormat="1" applyFont="1" applyFill="1" applyBorder="1" applyAlignment="1">
      <alignment vertical="center"/>
    </xf>
    <xf numFmtId="10" fontId="0" fillId="0" borderId="0" xfId="1" applyNumberFormat="1" applyFont="1" applyAlignment="1">
      <alignment vertical="center"/>
    </xf>
    <xf numFmtId="0" fontId="15" fillId="6" borderId="12" xfId="0" applyFont="1" applyFill="1" applyBorder="1">
      <alignment vertical="center"/>
    </xf>
    <xf numFmtId="183" fontId="0" fillId="7" borderId="0" xfId="1" applyNumberFormat="1" applyFont="1" applyFill="1" applyBorder="1" applyAlignment="1">
      <alignment vertical="center"/>
    </xf>
    <xf numFmtId="183" fontId="0" fillId="7" borderId="11" xfId="1" applyNumberFormat="1" applyFont="1" applyFill="1" applyBorder="1" applyAlignment="1">
      <alignment vertical="center"/>
    </xf>
    <xf numFmtId="0" fontId="15" fillId="6" borderId="13" xfId="0" applyFont="1" applyFill="1" applyBorder="1" applyAlignment="1">
      <alignment horizontal="right" vertical="center"/>
    </xf>
    <xf numFmtId="0" fontId="15" fillId="6" borderId="14" xfId="0" applyFont="1" applyFill="1" applyBorder="1" applyAlignment="1">
      <alignment horizontal="right" vertical="center"/>
    </xf>
    <xf numFmtId="0" fontId="20" fillId="0" borderId="0" xfId="3" applyFont="1">
      <alignment vertical="center"/>
    </xf>
    <xf numFmtId="184" fontId="0" fillId="0" borderId="0" xfId="2" applyNumberFormat="1" applyFont="1" applyAlignment="1">
      <alignment vertical="center"/>
    </xf>
    <xf numFmtId="185" fontId="0" fillId="0" borderId="0" xfId="2" applyNumberFormat="1" applyFont="1" applyBorder="1" applyAlignment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184" fontId="0" fillId="0" borderId="0" xfId="2" applyNumberFormat="1" applyFont="1" applyAlignment="1">
      <alignment horizontal="left" vertical="center"/>
    </xf>
    <xf numFmtId="184" fontId="0" fillId="0" borderId="0" xfId="2" applyNumberFormat="1" applyFont="1" applyAlignment="1">
      <alignment horizontal="right" vertical="center"/>
    </xf>
    <xf numFmtId="182" fontId="32" fillId="9" borderId="0" xfId="0" applyNumberFormat="1" applyFont="1" applyFill="1">
      <alignment vertical="center"/>
    </xf>
    <xf numFmtId="182" fontId="0" fillId="9" borderId="11" xfId="0" applyNumberFormat="1" applyFill="1" applyBorder="1">
      <alignment vertical="center"/>
    </xf>
    <xf numFmtId="1" fontId="0" fillId="0" borderId="0" xfId="0" applyNumberFormat="1">
      <alignment vertical="center"/>
    </xf>
    <xf numFmtId="0" fontId="11" fillId="2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2" fontId="9" fillId="0" borderId="0" xfId="0" applyNumberFormat="1" applyFont="1" applyAlignment="1">
      <alignment horizontal="right" vertical="center"/>
    </xf>
    <xf numFmtId="2" fontId="11" fillId="2" borderId="0" xfId="0" applyNumberFormat="1" applyFont="1" applyFill="1" applyAlignment="1">
      <alignment horizontal="right" vertical="center"/>
    </xf>
    <xf numFmtId="2" fontId="11" fillId="0" borderId="0" xfId="0" applyNumberFormat="1" applyFont="1">
      <alignment vertical="center"/>
    </xf>
    <xf numFmtId="187" fontId="11" fillId="2" borderId="0" xfId="0" applyNumberFormat="1" applyFont="1" applyFill="1">
      <alignment vertical="center"/>
    </xf>
    <xf numFmtId="0" fontId="11" fillId="2" borderId="0" xfId="0" applyFont="1" applyFill="1" applyAlignment="1">
      <alignment horizontal="center" vertical="center"/>
    </xf>
    <xf numFmtId="178" fontId="11" fillId="2" borderId="0" xfId="0" applyNumberFormat="1" applyFont="1" applyFill="1">
      <alignment vertical="center"/>
    </xf>
    <xf numFmtId="0" fontId="10" fillId="0" borderId="18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0" fontId="9" fillId="0" borderId="21" xfId="0" applyFont="1" applyBorder="1">
      <alignment vertical="center"/>
    </xf>
    <xf numFmtId="0" fontId="9" fillId="2" borderId="0" xfId="0" applyFont="1" applyFill="1">
      <alignment vertical="center"/>
    </xf>
    <xf numFmtId="0" fontId="9" fillId="2" borderId="22" xfId="0" applyFont="1" applyFill="1" applyBorder="1">
      <alignment vertical="center"/>
    </xf>
    <xf numFmtId="181" fontId="9" fillId="0" borderId="0" xfId="0" applyNumberFormat="1" applyFont="1">
      <alignment vertical="center"/>
    </xf>
    <xf numFmtId="181" fontId="11" fillId="2" borderId="0" xfId="0" applyNumberFormat="1" applyFont="1" applyFill="1">
      <alignment vertical="center"/>
    </xf>
    <xf numFmtId="0" fontId="6" fillId="0" borderId="23" xfId="0" applyFont="1" applyBorder="1">
      <alignment vertical="center"/>
    </xf>
    <xf numFmtId="0" fontId="9" fillId="0" borderId="16" xfId="0" applyFont="1" applyBorder="1">
      <alignment vertical="center"/>
    </xf>
    <xf numFmtId="0" fontId="9" fillId="2" borderId="16" xfId="0" applyFont="1" applyFill="1" applyBorder="1">
      <alignment vertical="center"/>
    </xf>
    <xf numFmtId="0" fontId="9" fillId="2" borderId="24" xfId="0" applyFont="1" applyFill="1" applyBorder="1">
      <alignment vertical="center"/>
    </xf>
    <xf numFmtId="180" fontId="9" fillId="0" borderId="0" xfId="0" applyNumberFormat="1" applyFont="1">
      <alignment vertical="center"/>
    </xf>
    <xf numFmtId="180" fontId="11" fillId="2" borderId="0" xfId="0" applyNumberFormat="1" applyFont="1" applyFill="1">
      <alignment vertical="center"/>
    </xf>
    <xf numFmtId="178" fontId="11" fillId="2" borderId="0" xfId="0" applyNumberFormat="1" applyFont="1" applyFill="1" applyAlignment="1">
      <alignment horizontal="right" vertical="center"/>
    </xf>
    <xf numFmtId="0" fontId="4" fillId="2" borderId="5" xfId="0" applyFont="1" applyFill="1" applyBorder="1">
      <alignment vertical="center"/>
    </xf>
    <xf numFmtId="181" fontId="9" fillId="2" borderId="0" xfId="0" applyNumberFormat="1" applyFont="1" applyFill="1">
      <alignment vertical="center"/>
    </xf>
    <xf numFmtId="181" fontId="9" fillId="2" borderId="16" xfId="0" applyNumberFormat="1" applyFont="1" applyFill="1" applyBorder="1">
      <alignment vertical="center"/>
    </xf>
    <xf numFmtId="180" fontId="11" fillId="2" borderId="0" xfId="0" applyNumberFormat="1" applyFont="1" applyFill="1" applyAlignment="1">
      <alignment horizontal="right" vertical="center"/>
    </xf>
    <xf numFmtId="188" fontId="11" fillId="2" borderId="0" xfId="0" applyNumberFormat="1" applyFont="1" applyFill="1" applyAlignment="1">
      <alignment horizontal="right" vertical="center"/>
    </xf>
    <xf numFmtId="190" fontId="0" fillId="0" borderId="0" xfId="0" applyNumberFormat="1">
      <alignment vertical="center"/>
    </xf>
    <xf numFmtId="0" fontId="35" fillId="9" borderId="0" xfId="3" applyFont="1" applyFill="1" applyBorder="1">
      <alignment vertical="center"/>
    </xf>
    <xf numFmtId="0" fontId="35" fillId="9" borderId="0" xfId="0" applyFont="1" applyFill="1">
      <alignment vertical="center"/>
    </xf>
    <xf numFmtId="0" fontId="36" fillId="9" borderId="0" xfId="0" applyFont="1" applyFill="1">
      <alignment vertical="center"/>
    </xf>
    <xf numFmtId="0" fontId="25" fillId="8" borderId="0" xfId="0" applyFont="1" applyFill="1">
      <alignment vertical="center"/>
    </xf>
    <xf numFmtId="0" fontId="34" fillId="0" borderId="0" xfId="0" applyFont="1">
      <alignment vertical="center"/>
    </xf>
    <xf numFmtId="0" fontId="0" fillId="0" borderId="0" xfId="0" applyAlignment="1">
      <alignment vertical="center" wrapText="1"/>
    </xf>
    <xf numFmtId="0" fontId="37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38" fillId="9" borderId="5" xfId="0" applyNumberFormat="1" applyFont="1" applyFill="1" applyBorder="1" applyAlignment="1">
      <alignment horizontal="left"/>
    </xf>
    <xf numFmtId="49" fontId="38" fillId="9" borderId="5" xfId="0" applyNumberFormat="1" applyFont="1" applyFill="1" applyBorder="1" applyAlignment="1"/>
    <xf numFmtId="0" fontId="39" fillId="9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49" fontId="21" fillId="0" borderId="0" xfId="0" applyNumberFormat="1" applyFont="1" applyAlignment="1"/>
    <xf numFmtId="0" fontId="15" fillId="0" borderId="0" xfId="0" applyFont="1" applyAlignment="1">
      <alignment horizontal="right" vertical="center"/>
    </xf>
    <xf numFmtId="186" fontId="34" fillId="4" borderId="14" xfId="2" applyNumberFormat="1" applyFont="1" applyFill="1" applyBorder="1" applyAlignment="1"/>
    <xf numFmtId="3" fontId="23" fillId="0" borderId="0" xfId="0" applyNumberFormat="1" applyFont="1" applyAlignment="1"/>
    <xf numFmtId="176" fontId="23" fillId="0" borderId="0" xfId="2" applyFont="1" applyFill="1" applyBorder="1" applyAlignment="1" applyProtection="1">
      <protection locked="0"/>
    </xf>
    <xf numFmtId="185" fontId="23" fillId="0" borderId="0" xfId="2" applyNumberFormat="1" applyFont="1" applyFill="1" applyBorder="1" applyAlignment="1" applyProtection="1">
      <protection locked="0"/>
    </xf>
    <xf numFmtId="185" fontId="23" fillId="0" borderId="0" xfId="2" applyNumberFormat="1" applyFont="1" applyFill="1" applyBorder="1" applyAlignment="1"/>
    <xf numFmtId="0" fontId="3" fillId="9" borderId="0" xfId="0" applyFont="1" applyFill="1">
      <alignment vertical="center"/>
    </xf>
    <xf numFmtId="0" fontId="25" fillId="0" borderId="0" xfId="0" applyFont="1" applyAlignment="1">
      <alignment horizontal="center" vertical="center"/>
    </xf>
    <xf numFmtId="186" fontId="34" fillId="0" borderId="0" xfId="2" applyNumberFormat="1" applyFont="1" applyFill="1" applyBorder="1" applyAlignment="1"/>
    <xf numFmtId="0" fontId="3" fillId="9" borderId="5" xfId="0" applyFont="1" applyFill="1" applyBorder="1" applyAlignment="1">
      <alignment horizontal="left" vertical="center" indent="1"/>
    </xf>
    <xf numFmtId="0" fontId="15" fillId="9" borderId="5" xfId="0" applyFont="1" applyFill="1" applyBorder="1" applyAlignment="1">
      <alignment horizontal="left" vertical="center"/>
    </xf>
    <xf numFmtId="0" fontId="25" fillId="8" borderId="1" xfId="0" applyFont="1" applyFill="1" applyBorder="1">
      <alignment vertical="center"/>
    </xf>
    <xf numFmtId="0" fontId="25" fillId="8" borderId="10" xfId="0" applyFont="1" applyFill="1" applyBorder="1">
      <alignment vertical="center"/>
    </xf>
    <xf numFmtId="176" fontId="15" fillId="9" borderId="10" xfId="2" applyFont="1" applyFill="1" applyBorder="1"/>
    <xf numFmtId="3" fontId="23" fillId="4" borderId="0" xfId="0" applyNumberFormat="1" applyFont="1" applyFill="1" applyAlignment="1"/>
    <xf numFmtId="0" fontId="15" fillId="4" borderId="5" xfId="0" applyFont="1" applyFill="1" applyBorder="1" applyAlignment="1">
      <alignment horizontal="left" vertical="center"/>
    </xf>
    <xf numFmtId="0" fontId="34" fillId="4" borderId="5" xfId="0" applyFont="1" applyFill="1" applyBorder="1" applyAlignment="1">
      <alignment horizontal="left" vertical="center" indent="1"/>
    </xf>
    <xf numFmtId="0" fontId="34" fillId="4" borderId="0" xfId="0" applyFont="1" applyFill="1">
      <alignment vertical="center"/>
    </xf>
    <xf numFmtId="0" fontId="3" fillId="0" borderId="0" xfId="0" applyFont="1">
      <alignment vertical="center"/>
    </xf>
    <xf numFmtId="185" fontId="3" fillId="0" borderId="0" xfId="2" applyNumberFormat="1" applyFont="1" applyAlignment="1">
      <alignment vertical="center"/>
    </xf>
    <xf numFmtId="0" fontId="3" fillId="4" borderId="1" xfId="0" applyFont="1" applyFill="1" applyBorder="1">
      <alignment vertical="center"/>
    </xf>
    <xf numFmtId="0" fontId="3" fillId="4" borderId="10" xfId="0" applyFont="1" applyFill="1" applyBorder="1">
      <alignment vertical="center"/>
    </xf>
    <xf numFmtId="0" fontId="3" fillId="4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0" xfId="0" applyFont="1" applyFill="1">
      <alignment vertical="center"/>
    </xf>
    <xf numFmtId="0" fontId="3" fillId="4" borderId="6" xfId="0" applyFont="1" applyFill="1" applyBorder="1" applyAlignment="1">
      <alignment horizontal="right" vertical="center"/>
    </xf>
    <xf numFmtId="176" fontId="3" fillId="0" borderId="0" xfId="0" applyNumberFormat="1" applyFont="1">
      <alignment vertical="center"/>
    </xf>
    <xf numFmtId="0" fontId="3" fillId="4" borderId="5" xfId="0" applyFont="1" applyFill="1" applyBorder="1">
      <alignment vertical="center"/>
    </xf>
    <xf numFmtId="9" fontId="3" fillId="4" borderId="6" xfId="1" applyFont="1" applyFill="1" applyBorder="1" applyAlignment="1">
      <alignment horizontal="right" vertical="center"/>
    </xf>
    <xf numFmtId="9" fontId="3" fillId="0" borderId="0" xfId="1" applyFont="1" applyFill="1" applyBorder="1" applyAlignment="1">
      <alignment horizontal="right" vertical="center"/>
    </xf>
    <xf numFmtId="0" fontId="3" fillId="4" borderId="12" xfId="0" applyFont="1" applyFill="1" applyBorder="1">
      <alignment vertical="center"/>
    </xf>
    <xf numFmtId="0" fontId="3" fillId="4" borderId="13" xfId="0" applyFont="1" applyFill="1" applyBorder="1">
      <alignment vertical="center"/>
    </xf>
    <xf numFmtId="185" fontId="3" fillId="0" borderId="0" xfId="2" applyNumberFormat="1" applyFont="1" applyFill="1" applyAlignment="1">
      <alignment vertical="center"/>
    </xf>
    <xf numFmtId="184" fontId="3" fillId="0" borderId="0" xfId="2" applyNumberFormat="1" applyFont="1" applyAlignment="1">
      <alignment vertical="center"/>
    </xf>
    <xf numFmtId="184" fontId="3" fillId="0" borderId="0" xfId="2" applyNumberFormat="1" applyFont="1" applyAlignment="1">
      <alignment horizontal="right" vertical="center"/>
    </xf>
    <xf numFmtId="176" fontId="3" fillId="9" borderId="0" xfId="2" applyFont="1" applyFill="1" applyBorder="1"/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11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185" fontId="3" fillId="0" borderId="0" xfId="2" applyNumberFormat="1" applyFont="1" applyBorder="1" applyAlignment="1">
      <alignment vertical="center"/>
    </xf>
    <xf numFmtId="9" fontId="3" fillId="0" borderId="0" xfId="1" applyFont="1" applyBorder="1" applyAlignme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11" fontId="3" fillId="0" borderId="11" xfId="0" applyNumberFormat="1" applyFont="1" applyBorder="1">
      <alignment vertical="center"/>
    </xf>
    <xf numFmtId="176" fontId="3" fillId="0" borderId="0" xfId="2" applyFont="1" applyAlignment="1">
      <alignment vertical="center"/>
    </xf>
    <xf numFmtId="185" fontId="3" fillId="0" borderId="0" xfId="0" applyNumberFormat="1" applyFont="1">
      <alignment vertical="center"/>
    </xf>
    <xf numFmtId="184" fontId="3" fillId="0" borderId="0" xfId="2" applyNumberFormat="1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 indent="1"/>
    </xf>
    <xf numFmtId="185" fontId="3" fillId="4" borderId="0" xfId="2" applyNumberFormat="1" applyFont="1" applyFill="1" applyBorder="1" applyAlignment="1">
      <alignment vertical="center"/>
    </xf>
    <xf numFmtId="185" fontId="3" fillId="4" borderId="6" xfId="2" applyNumberFormat="1" applyFont="1" applyFill="1" applyBorder="1" applyAlignment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horizontal="center"/>
    </xf>
    <xf numFmtId="11" fontId="3" fillId="0" borderId="10" xfId="0" applyNumberFormat="1" applyFont="1" applyBorder="1">
      <alignment vertical="center"/>
    </xf>
    <xf numFmtId="0" fontId="23" fillId="0" borderId="0" xfId="0" applyFont="1">
      <alignment vertical="center"/>
    </xf>
    <xf numFmtId="0" fontId="3" fillId="0" borderId="5" xfId="0" applyFont="1" applyBorder="1" applyAlignment="1">
      <alignment horizontal="center"/>
    </xf>
    <xf numFmtId="184" fontId="3" fillId="0" borderId="0" xfId="0" applyNumberFormat="1" applyFont="1">
      <alignment vertic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left" vertical="center" indent="1"/>
    </xf>
    <xf numFmtId="0" fontId="3" fillId="4" borderId="11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9" borderId="0" xfId="2" applyNumberFormat="1" applyFont="1" applyFill="1" applyBorder="1" applyAlignment="1">
      <alignment vertical="center"/>
    </xf>
    <xf numFmtId="3" fontId="3" fillId="9" borderId="6" xfId="2" applyNumberFormat="1" applyFont="1" applyFill="1" applyBorder="1" applyAlignment="1">
      <alignment vertical="center"/>
    </xf>
    <xf numFmtId="3" fontId="34" fillId="9" borderId="0" xfId="2" applyNumberFormat="1" applyFont="1" applyFill="1" applyBorder="1" applyAlignment="1">
      <alignment vertical="center"/>
    </xf>
    <xf numFmtId="3" fontId="34" fillId="9" borderId="6" xfId="2" applyNumberFormat="1" applyFont="1" applyFill="1" applyBorder="1" applyAlignment="1">
      <alignment vertical="center"/>
    </xf>
    <xf numFmtId="3" fontId="15" fillId="9" borderId="0" xfId="2" applyNumberFormat="1" applyFont="1" applyFill="1" applyBorder="1" applyAlignment="1">
      <alignment vertical="center"/>
    </xf>
    <xf numFmtId="3" fontId="15" fillId="9" borderId="6" xfId="2" applyNumberFormat="1" applyFont="1" applyFill="1" applyBorder="1" applyAlignment="1">
      <alignment vertical="center"/>
    </xf>
    <xf numFmtId="3" fontId="15" fillId="9" borderId="10" xfId="2" applyNumberFormat="1" applyFont="1" applyFill="1" applyBorder="1" applyAlignment="1">
      <alignment vertical="center"/>
    </xf>
    <xf numFmtId="3" fontId="15" fillId="9" borderId="2" xfId="2" applyNumberFormat="1" applyFont="1" applyFill="1" applyBorder="1" applyAlignment="1">
      <alignment vertical="center"/>
    </xf>
    <xf numFmtId="3" fontId="15" fillId="4" borderId="0" xfId="2" applyNumberFormat="1" applyFont="1" applyFill="1" applyBorder="1" applyAlignment="1">
      <alignment vertical="center"/>
    </xf>
    <xf numFmtId="3" fontId="15" fillId="4" borderId="6" xfId="2" applyNumberFormat="1" applyFont="1" applyFill="1" applyBorder="1" applyAlignment="1">
      <alignment vertical="center"/>
    </xf>
    <xf numFmtId="3" fontId="3" fillId="4" borderId="0" xfId="2" applyNumberFormat="1" applyFont="1" applyFill="1" applyBorder="1" applyAlignment="1">
      <alignment vertical="center"/>
    </xf>
    <xf numFmtId="3" fontId="3" fillId="4" borderId="6" xfId="2" applyNumberFormat="1" applyFont="1" applyFill="1" applyBorder="1" applyAlignment="1">
      <alignment vertical="center"/>
    </xf>
    <xf numFmtId="3" fontId="3" fillId="9" borderId="0" xfId="6" applyNumberFormat="1" applyFont="1" applyFill="1" applyBorder="1"/>
    <xf numFmtId="9" fontId="3" fillId="0" borderId="0" xfId="1" applyFont="1" applyAlignment="1">
      <alignment vertical="center"/>
    </xf>
    <xf numFmtId="0" fontId="39" fillId="9" borderId="0" xfId="0" applyFont="1" applyFill="1">
      <alignment vertical="center"/>
    </xf>
    <xf numFmtId="176" fontId="39" fillId="9" borderId="0" xfId="2" applyFont="1" applyFill="1" applyBorder="1"/>
    <xf numFmtId="3" fontId="39" fillId="9" borderId="0" xfId="2" applyNumberFormat="1" applyFont="1" applyFill="1" applyBorder="1" applyAlignment="1">
      <alignment vertical="center"/>
    </xf>
    <xf numFmtId="3" fontId="39" fillId="9" borderId="6" xfId="2" applyNumberFormat="1" applyFont="1" applyFill="1" applyBorder="1" applyAlignment="1">
      <alignment vertical="center"/>
    </xf>
    <xf numFmtId="1" fontId="3" fillId="0" borderId="0" xfId="0" applyNumberFormat="1" applyFont="1">
      <alignment vertic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3" fontId="23" fillId="0" borderId="1" xfId="0" applyNumberFormat="1" applyFont="1" applyBorder="1" applyAlignment="1"/>
    <xf numFmtId="11" fontId="3" fillId="0" borderId="2" xfId="0" applyNumberFormat="1" applyFont="1" applyBorder="1">
      <alignment vertical="center"/>
    </xf>
    <xf numFmtId="11" fontId="3" fillId="0" borderId="6" xfId="0" applyNumberFormat="1" applyFont="1" applyBorder="1">
      <alignment vertical="center"/>
    </xf>
    <xf numFmtId="11" fontId="3" fillId="0" borderId="4" xfId="0" applyNumberFormat="1" applyFont="1" applyBorder="1">
      <alignment vertical="center"/>
    </xf>
    <xf numFmtId="1" fontId="3" fillId="0" borderId="6" xfId="0" applyNumberFormat="1" applyFont="1" applyBorder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91" fontId="3" fillId="0" borderId="0" xfId="2" applyNumberFormat="1" applyFont="1" applyBorder="1" applyAlignment="1">
      <alignment vertical="center"/>
    </xf>
    <xf numFmtId="3" fontId="3" fillId="9" borderId="6" xfId="6" applyNumberFormat="1" applyFont="1" applyFill="1" applyBorder="1"/>
    <xf numFmtId="182" fontId="32" fillId="0" borderId="10" xfId="0" quotePrefix="1" applyNumberFormat="1" applyFont="1" applyBorder="1" applyAlignment="1">
      <alignment horizontal="center" vertical="center"/>
    </xf>
    <xf numFmtId="182" fontId="34" fillId="0" borderId="0" xfId="0" applyNumberFormat="1" applyFont="1" applyAlignment="1">
      <alignment horizontal="center" vertical="center"/>
    </xf>
    <xf numFmtId="182" fontId="34" fillId="0" borderId="11" xfId="0" applyNumberFormat="1" applyFont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85" fontId="3" fillId="4" borderId="10" xfId="2" applyNumberFormat="1" applyFont="1" applyFill="1" applyBorder="1" applyAlignment="1">
      <alignment vertical="center"/>
    </xf>
    <xf numFmtId="185" fontId="3" fillId="4" borderId="2" xfId="2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 indent="1"/>
    </xf>
    <xf numFmtId="0" fontId="3" fillId="7" borderId="10" xfId="0" applyFont="1" applyFill="1" applyBorder="1">
      <alignment vertical="center"/>
    </xf>
    <xf numFmtId="0" fontId="3" fillId="7" borderId="10" xfId="0" applyFont="1" applyFill="1" applyBorder="1" applyAlignment="1">
      <alignment horizontal="center" vertical="center"/>
    </xf>
    <xf numFmtId="3" fontId="3" fillId="7" borderId="10" xfId="2" applyNumberFormat="1" applyFont="1" applyFill="1" applyBorder="1" applyAlignment="1">
      <alignment vertical="center"/>
    </xf>
    <xf numFmtId="3" fontId="3" fillId="7" borderId="2" xfId="2" applyNumberFormat="1" applyFont="1" applyFill="1" applyBorder="1" applyAlignment="1">
      <alignment vertical="center"/>
    </xf>
    <xf numFmtId="0" fontId="15" fillId="7" borderId="5" xfId="0" applyFont="1" applyFill="1" applyBorder="1" applyAlignment="1">
      <alignment horizontal="left" vertical="center"/>
    </xf>
    <xf numFmtId="3" fontId="15" fillId="7" borderId="0" xfId="2" applyNumberFormat="1" applyFont="1" applyFill="1" applyBorder="1" applyAlignment="1">
      <alignment vertical="center"/>
    </xf>
    <xf numFmtId="3" fontId="15" fillId="7" borderId="6" xfId="2" applyNumberFormat="1" applyFont="1" applyFill="1" applyBorder="1" applyAlignment="1">
      <alignment vertical="center"/>
    </xf>
    <xf numFmtId="0" fontId="3" fillId="7" borderId="5" xfId="0" applyFont="1" applyFill="1" applyBorder="1" applyAlignment="1">
      <alignment horizontal="left" vertical="center" indent="1"/>
    </xf>
    <xf numFmtId="3" fontId="23" fillId="7" borderId="0" xfId="0" applyNumberFormat="1" applyFont="1" applyFill="1" applyAlignment="1"/>
    <xf numFmtId="0" fontId="3" fillId="7" borderId="0" xfId="0" applyFont="1" applyFill="1" applyAlignment="1">
      <alignment horizontal="center" vertical="center"/>
    </xf>
    <xf numFmtId="3" fontId="3" fillId="7" borderId="0" xfId="2" applyNumberFormat="1" applyFont="1" applyFill="1" applyBorder="1" applyAlignment="1">
      <alignment vertical="center"/>
    </xf>
    <xf numFmtId="3" fontId="3" fillId="7" borderId="6" xfId="2" applyNumberFormat="1" applyFont="1" applyFill="1" applyBorder="1" applyAlignment="1">
      <alignment vertical="center"/>
    </xf>
    <xf numFmtId="0" fontId="3" fillId="7" borderId="0" xfId="0" applyFont="1" applyFill="1">
      <alignment vertical="center"/>
    </xf>
    <xf numFmtId="0" fontId="15" fillId="7" borderId="0" xfId="0" applyFont="1" applyFill="1" applyAlignment="1">
      <alignment horizontal="left" vertical="center" indent="1"/>
    </xf>
    <xf numFmtId="0" fontId="25" fillId="8" borderId="10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34" fillId="7" borderId="3" xfId="0" applyFont="1" applyFill="1" applyBorder="1">
      <alignment vertical="center"/>
    </xf>
    <xf numFmtId="0" fontId="34" fillId="7" borderId="11" xfId="0" applyFont="1" applyFill="1" applyBorder="1">
      <alignment vertical="center"/>
    </xf>
    <xf numFmtId="186" fontId="34" fillId="7" borderId="11" xfId="2" applyNumberFormat="1" applyFont="1" applyFill="1" applyBorder="1" applyAlignment="1">
      <alignment vertical="center"/>
    </xf>
    <xf numFmtId="186" fontId="34" fillId="7" borderId="4" xfId="2" applyNumberFormat="1" applyFont="1" applyFill="1" applyBorder="1" applyAlignment="1">
      <alignment vertical="center"/>
    </xf>
    <xf numFmtId="0" fontId="34" fillId="7" borderId="11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left" vertical="center"/>
    </xf>
    <xf numFmtId="0" fontId="3" fillId="12" borderId="0" xfId="0" applyFont="1" applyFill="1">
      <alignment vertical="center"/>
    </xf>
    <xf numFmtId="0" fontId="3" fillId="12" borderId="0" xfId="0" applyFont="1" applyFill="1" applyAlignment="1">
      <alignment horizontal="center" vertical="center"/>
    </xf>
    <xf numFmtId="3" fontId="3" fillId="12" borderId="0" xfId="2" applyNumberFormat="1" applyFont="1" applyFill="1" applyBorder="1" applyAlignment="1">
      <alignment vertical="center"/>
    </xf>
    <xf numFmtId="3" fontId="3" fillId="12" borderId="6" xfId="2" applyNumberFormat="1" applyFont="1" applyFill="1" applyBorder="1" applyAlignment="1">
      <alignment vertical="center"/>
    </xf>
    <xf numFmtId="0" fontId="3" fillId="12" borderId="5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left" vertical="center" indent="1"/>
    </xf>
    <xf numFmtId="0" fontId="3" fillId="12" borderId="11" xfId="0" applyFont="1" applyFill="1" applyBorder="1">
      <alignment vertical="center"/>
    </xf>
    <xf numFmtId="0" fontId="3" fillId="12" borderId="11" xfId="0" applyFont="1" applyFill="1" applyBorder="1" applyAlignment="1">
      <alignment horizontal="center" vertical="center"/>
    </xf>
    <xf numFmtId="3" fontId="3" fillId="12" borderId="11" xfId="2" applyNumberFormat="1" applyFont="1" applyFill="1" applyBorder="1" applyAlignment="1">
      <alignment vertical="center"/>
    </xf>
    <xf numFmtId="3" fontId="3" fillId="12" borderId="4" xfId="2" applyNumberFormat="1" applyFont="1" applyFill="1" applyBorder="1" applyAlignment="1">
      <alignment vertical="center"/>
    </xf>
    <xf numFmtId="3" fontId="3" fillId="0" borderId="0" xfId="0" applyNumberFormat="1" applyFont="1">
      <alignment vertical="center"/>
    </xf>
    <xf numFmtId="4" fontId="3" fillId="0" borderId="0" xfId="2" applyNumberFormat="1" applyFont="1" applyFill="1" applyBorder="1" applyAlignment="1">
      <alignment vertical="center"/>
    </xf>
    <xf numFmtId="185" fontId="3" fillId="0" borderId="0" xfId="2" applyNumberFormat="1" applyFont="1" applyFill="1" applyBorder="1" applyAlignment="1">
      <alignment vertical="center"/>
    </xf>
    <xf numFmtId="183" fontId="3" fillId="0" borderId="0" xfId="1" applyNumberFormat="1" applyFont="1" applyFill="1" applyBorder="1" applyAlignment="1">
      <alignment vertical="center"/>
    </xf>
    <xf numFmtId="10" fontId="3" fillId="0" borderId="0" xfId="1" applyNumberFormat="1" applyFont="1" applyFill="1" applyBorder="1" applyAlignment="1">
      <alignment vertical="center"/>
    </xf>
    <xf numFmtId="4" fontId="3" fillId="4" borderId="0" xfId="2" applyNumberFormat="1" applyFont="1" applyFill="1" applyBorder="1" applyAlignment="1">
      <alignment vertical="center"/>
    </xf>
    <xf numFmtId="0" fontId="34" fillId="4" borderId="0" xfId="0" applyFont="1" applyFill="1" applyAlignment="1">
      <alignment horizontal="center" vertical="center"/>
    </xf>
    <xf numFmtId="4" fontId="34" fillId="4" borderId="0" xfId="2" applyNumberFormat="1" applyFont="1" applyFill="1" applyBorder="1" applyAlignment="1">
      <alignment vertical="center"/>
    </xf>
    <xf numFmtId="4" fontId="34" fillId="4" borderId="6" xfId="2" applyNumberFormat="1" applyFont="1" applyFill="1" applyBorder="1" applyAlignment="1">
      <alignment vertical="center"/>
    </xf>
    <xf numFmtId="4" fontId="3" fillId="4" borderId="6" xfId="2" applyNumberFormat="1" applyFont="1" applyFill="1" applyBorder="1" applyAlignment="1">
      <alignment vertical="center"/>
    </xf>
    <xf numFmtId="4" fontId="3" fillId="4" borderId="11" xfId="2" applyNumberFormat="1" applyFont="1" applyFill="1" applyBorder="1" applyAlignment="1">
      <alignment vertical="center"/>
    </xf>
    <xf numFmtId="4" fontId="3" fillId="4" borderId="4" xfId="2" applyNumberFormat="1" applyFont="1" applyFill="1" applyBorder="1" applyAlignment="1">
      <alignment vertical="center"/>
    </xf>
    <xf numFmtId="181" fontId="6" fillId="0" borderId="0" xfId="0" applyNumberFormat="1" applyFont="1">
      <alignment vertical="center"/>
    </xf>
    <xf numFmtId="9" fontId="6" fillId="0" borderId="0" xfId="1" applyFont="1" applyAlignment="1">
      <alignment vertical="center"/>
    </xf>
    <xf numFmtId="0" fontId="2" fillId="0" borderId="0" xfId="7"/>
    <xf numFmtId="0" fontId="15" fillId="0" borderId="0" xfId="7" applyFont="1"/>
    <xf numFmtId="178" fontId="2" fillId="0" borderId="0" xfId="7" applyNumberFormat="1"/>
    <xf numFmtId="11" fontId="2" fillId="0" borderId="0" xfId="7" applyNumberFormat="1"/>
    <xf numFmtId="193" fontId="15" fillId="0" borderId="0" xfId="8" applyNumberFormat="1" applyFont="1"/>
    <xf numFmtId="0" fontId="2" fillId="9" borderId="0" xfId="7" applyFill="1"/>
    <xf numFmtId="178" fontId="2" fillId="9" borderId="0" xfId="7" applyNumberFormat="1" applyFill="1"/>
    <xf numFmtId="11" fontId="2" fillId="9" borderId="0" xfId="7" applyNumberFormat="1" applyFill="1"/>
    <xf numFmtId="193" fontId="15" fillId="9" borderId="0" xfId="8" applyNumberFormat="1" applyFont="1" applyFill="1"/>
    <xf numFmtId="0" fontId="2" fillId="7" borderId="0" xfId="7" applyFill="1"/>
    <xf numFmtId="178" fontId="2" fillId="7" borderId="0" xfId="7" applyNumberFormat="1" applyFill="1"/>
    <xf numFmtId="11" fontId="2" fillId="7" borderId="0" xfId="7" applyNumberFormat="1" applyFill="1"/>
    <xf numFmtId="193" fontId="15" fillId="7" borderId="0" xfId="8" applyNumberFormat="1" applyFont="1" applyFill="1"/>
    <xf numFmtId="0" fontId="32" fillId="0" borderId="0" xfId="7" applyFont="1"/>
    <xf numFmtId="178" fontId="15" fillId="0" borderId="0" xfId="7" applyNumberFormat="1" applyFont="1"/>
    <xf numFmtId="178" fontId="15" fillId="7" borderId="0" xfId="7" applyNumberFormat="1" applyFont="1" applyFill="1"/>
    <xf numFmtId="178" fontId="15" fillId="9" borderId="0" xfId="7" applyNumberFormat="1" applyFont="1" applyFill="1"/>
    <xf numFmtId="0" fontId="23" fillId="0" borderId="1" xfId="0" applyFont="1" applyBorder="1" applyAlignment="1"/>
    <xf numFmtId="0" fontId="21" fillId="0" borderId="10" xfId="0" quotePrefix="1" applyFont="1" applyBorder="1" applyAlignment="1">
      <alignment horizontal="right"/>
    </xf>
    <xf numFmtId="0" fontId="21" fillId="0" borderId="10" xfId="0" applyFont="1" applyBorder="1" applyAlignment="1">
      <alignment horizontal="right"/>
    </xf>
    <xf numFmtId="0" fontId="21" fillId="0" borderId="2" xfId="0" quotePrefix="1" applyFont="1" applyBorder="1" applyAlignment="1">
      <alignment horizontal="right"/>
    </xf>
    <xf numFmtId="183" fontId="1" fillId="0" borderId="0" xfId="1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0" fontId="0" fillId="0" borderId="5" xfId="0" applyBorder="1" applyAlignment="1"/>
    <xf numFmtId="2" fontId="0" fillId="0" borderId="0" xfId="6" applyNumberFormat="1" applyFont="1" applyFill="1" applyBorder="1"/>
    <xf numFmtId="2" fontId="0" fillId="0" borderId="6" xfId="6" applyNumberFormat="1" applyFont="1" applyFill="1" applyBorder="1"/>
    <xf numFmtId="182" fontId="0" fillId="0" borderId="0" xfId="6" applyNumberFormat="1" applyFont="1" applyFill="1" applyBorder="1"/>
    <xf numFmtId="182" fontId="0" fillId="0" borderId="6" xfId="6" applyNumberFormat="1" applyFont="1" applyFill="1" applyBorder="1"/>
    <xf numFmtId="185" fontId="1" fillId="0" borderId="0" xfId="2" applyNumberFormat="1" applyFont="1" applyFill="1" applyBorder="1" applyAlignment="1">
      <alignment vertical="center"/>
    </xf>
    <xf numFmtId="0" fontId="0" fillId="0" borderId="3" xfId="0" applyBorder="1" applyAlignment="1"/>
    <xf numFmtId="0" fontId="15" fillId="0" borderId="1" xfId="0" quotePrefix="1" applyFont="1" applyBorder="1">
      <alignment vertical="center"/>
    </xf>
    <xf numFmtId="176" fontId="1" fillId="0" borderId="0" xfId="2" applyFont="1" applyFill="1" applyBorder="1" applyAlignment="1">
      <alignment vertical="center"/>
    </xf>
    <xf numFmtId="176" fontId="1" fillId="0" borderId="6" xfId="2" applyFont="1" applyFill="1" applyBorder="1" applyAlignment="1">
      <alignment vertical="center"/>
    </xf>
    <xf numFmtId="176" fontId="1" fillId="0" borderId="11" xfId="2" applyFont="1" applyFill="1" applyBorder="1" applyAlignment="1">
      <alignment vertical="center"/>
    </xf>
    <xf numFmtId="176" fontId="1" fillId="0" borderId="4" xfId="2" applyFont="1" applyFill="1" applyBorder="1" applyAlignment="1">
      <alignment vertical="center"/>
    </xf>
    <xf numFmtId="185" fontId="1" fillId="0" borderId="0" xfId="2" applyNumberFormat="1" applyFont="1" applyAlignment="1">
      <alignment vertical="center"/>
    </xf>
    <xf numFmtId="0" fontId="0" fillId="0" borderId="0" xfId="0" applyAlignment="1"/>
    <xf numFmtId="9" fontId="34" fillId="0" borderId="0" xfId="0" quotePrefix="1" applyNumberFormat="1" applyFont="1" applyAlignment="1">
      <alignment horizontal="left"/>
    </xf>
    <xf numFmtId="0" fontId="34" fillId="0" borderId="0" xfId="0" applyFont="1" applyAlignment="1"/>
    <xf numFmtId="9" fontId="34" fillId="0" borderId="1" xfId="0" quotePrefix="1" applyNumberFormat="1" applyFont="1" applyBorder="1" applyAlignment="1">
      <alignment horizontal="left"/>
    </xf>
    <xf numFmtId="0" fontId="0" fillId="0" borderId="6" xfId="0" quotePrefix="1" applyBorder="1" applyAlignment="1"/>
    <xf numFmtId="183" fontId="0" fillId="0" borderId="0" xfId="1" applyNumberFormat="1" applyFont="1" applyBorder="1"/>
    <xf numFmtId="183" fontId="0" fillId="0" borderId="6" xfId="1" applyNumberFormat="1" applyFont="1" applyBorder="1"/>
    <xf numFmtId="2" fontId="0" fillId="0" borderId="11" xfId="0" applyNumberFormat="1" applyBorder="1" applyAlignment="1"/>
    <xf numFmtId="183" fontId="0" fillId="0" borderId="11" xfId="1" applyNumberFormat="1" applyFont="1" applyBorder="1"/>
    <xf numFmtId="183" fontId="0" fillId="0" borderId="4" xfId="1" applyNumberFormat="1" applyFont="1" applyBorder="1"/>
    <xf numFmtId="0" fontId="15" fillId="0" borderId="1" xfId="0" quotePrefix="1" applyFont="1" applyBorder="1" applyAlignment="1">
      <alignment horizontal="left" vertical="center"/>
    </xf>
    <xf numFmtId="9" fontId="0" fillId="0" borderId="11" xfId="1" applyFont="1" applyFill="1" applyBorder="1"/>
    <xf numFmtId="9" fontId="0" fillId="0" borderId="4" xfId="1" applyFont="1" applyFill="1" applyBorder="1"/>
    <xf numFmtId="0" fontId="15" fillId="0" borderId="10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5" xfId="0" quotePrefix="1" applyFont="1" applyBorder="1">
      <alignment vertical="center"/>
    </xf>
    <xf numFmtId="0" fontId="15" fillId="0" borderId="5" xfId="0" quotePrefix="1" applyFont="1" applyBorder="1" applyAlignment="1">
      <alignment horizontal="left" vertical="center"/>
    </xf>
    <xf numFmtId="0" fontId="23" fillId="0" borderId="5" xfId="0" applyFont="1" applyBorder="1" applyAlignment="1"/>
    <xf numFmtId="0" fontId="21" fillId="0" borderId="0" xfId="0" quotePrefix="1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6" xfId="0" quotePrefix="1" applyFont="1" applyBorder="1" applyAlignment="1">
      <alignment horizontal="right"/>
    </xf>
    <xf numFmtId="186" fontId="15" fillId="0" borderId="0" xfId="2" applyNumberFormat="1" applyFont="1" applyBorder="1" applyAlignment="1">
      <alignment horizontal="left" vertical="center"/>
    </xf>
    <xf numFmtId="186" fontId="15" fillId="0" borderId="6" xfId="2" applyNumberFormat="1" applyFont="1" applyBorder="1" applyAlignment="1">
      <alignment horizontal="left" vertical="center"/>
    </xf>
    <xf numFmtId="9" fontId="0" fillId="0" borderId="0" xfId="0" quotePrefix="1" applyNumberFormat="1" applyAlignment="1"/>
    <xf numFmtId="0" fontId="0" fillId="0" borderId="0" xfId="0" quotePrefix="1" applyAlignment="1"/>
    <xf numFmtId="2" fontId="0" fillId="0" borderId="0" xfId="0" applyNumberFormat="1" applyAlignment="1"/>
    <xf numFmtId="186" fontId="34" fillId="0" borderId="0" xfId="2" applyNumberFormat="1" applyFont="1" applyAlignment="1"/>
    <xf numFmtId="178" fontId="11" fillId="13" borderId="0" xfId="0" applyNumberFormat="1" applyFont="1" applyFill="1">
      <alignment vertical="center"/>
    </xf>
    <xf numFmtId="9" fontId="11" fillId="0" borderId="0" xfId="0" applyNumberFormat="1" applyFont="1">
      <alignment vertical="center"/>
    </xf>
    <xf numFmtId="187" fontId="6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1" fontId="6" fillId="0" borderId="0" xfId="0" applyNumberFormat="1" applyFont="1">
      <alignment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9" fillId="3" borderId="13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85" fontId="15" fillId="10" borderId="12" xfId="2" applyNumberFormat="1" applyFont="1" applyFill="1" applyBorder="1" applyAlignment="1">
      <alignment horizontal="center" vertical="center"/>
    </xf>
    <xf numFmtId="185" fontId="15" fillId="10" borderId="13" xfId="2" applyNumberFormat="1" applyFont="1" applyFill="1" applyBorder="1" applyAlignment="1">
      <alignment horizontal="center" vertical="center"/>
    </xf>
    <xf numFmtId="185" fontId="15" fillId="10" borderId="14" xfId="2" applyNumberFormat="1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/>
    </xf>
    <xf numFmtId="49" fontId="21" fillId="0" borderId="13" xfId="0" applyNumberFormat="1" applyFont="1" applyBorder="1" applyAlignment="1">
      <alignment horizontal="center"/>
    </xf>
    <xf numFmtId="49" fontId="21" fillId="0" borderId="14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</cellXfs>
  <cellStyles count="9">
    <cellStyle name="Comma 2" xfId="6" xr:uid="{3892FBED-B202-49C8-98E2-5AC41469E8F6}"/>
    <cellStyle name="Comma 3" xfId="8" xr:uid="{E21B2A7B-1626-44A4-8F4A-A575D502CD86}"/>
    <cellStyle name="Normal 2" xfId="5" xr:uid="{CD6BCE90-D4A1-47C1-B72E-4CA574F222E0}"/>
    <cellStyle name="Normal 3" xfId="7" xr:uid="{877BAA99-DB0F-4D8E-A22E-85C6FC1DBF3C}"/>
    <cellStyle name="백분율" xfId="1" builtinId="5"/>
    <cellStyle name="쉼표" xfId="2" builtinId="3"/>
    <cellStyle name="표준" xfId="0" builtinId="0"/>
    <cellStyle name="표준 2" xfId="4" xr:uid="{00000000-0005-0000-0000-000004000000}"/>
    <cellStyle name="하이퍼링크" xfId="3" builtinId="8"/>
  </cellStyles>
  <dxfs count="0"/>
  <tableStyles count="0" defaultTableStyle="TableStyleMedium2" defaultPivotStyle="PivotStyleLight16"/>
  <colors>
    <mruColors>
      <color rgb="FF996633"/>
      <color rgb="FF6600CC"/>
      <color rgb="FF9966FF"/>
      <color rgb="FFF187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Relationship Id="rId4" Type="http://schemas.openxmlformats.org/officeDocument/2006/relationships/chartUserShapes" Target="../drawings/drawing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572923032267693"/>
          <c:y val="2.7632297647057262E-2"/>
          <c:w val="0.70915266841644797"/>
          <c:h val="0.530600362651829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'1. DB_Experiment_VER2'!$I$31</c:f>
              <c:strCache>
                <c:ptCount val="1"/>
                <c:pt idx="0">
                  <c:v>C2H6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DB_Experiment_VER2'!$J$31:$N$31</c:f>
              <c:numCache>
                <c:formatCode>0%</c:formatCode>
                <c:ptCount val="5"/>
                <c:pt idx="0">
                  <c:v>2.1016456060730701E-2</c:v>
                </c:pt>
                <c:pt idx="1">
                  <c:v>6.0510439541256907E-2</c:v>
                </c:pt>
                <c:pt idx="2">
                  <c:v>4.3923736529947896E-2</c:v>
                </c:pt>
                <c:pt idx="3">
                  <c:v>3.5035057787311003E-2</c:v>
                </c:pt>
                <c:pt idx="4">
                  <c:v>2.9837433773142977E-2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F-40A7-A2CC-4A08D37E2C44}"/>
            </c:ext>
          </c:extLst>
        </c:ser>
        <c:ser>
          <c:idx val="1"/>
          <c:order val="1"/>
          <c:tx>
            <c:strRef>
              <c:f>'1. DB_Experiment_VER2'!$I$32</c:f>
              <c:strCache>
                <c:ptCount val="1"/>
                <c:pt idx="0">
                  <c:v>C2H4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DB_Experiment_VER2'!$J$32:$N$32</c:f>
              <c:numCache>
                <c:formatCode>0%</c:formatCode>
                <c:ptCount val="5"/>
                <c:pt idx="0">
                  <c:v>0.37281424641854444</c:v>
                </c:pt>
                <c:pt idx="1">
                  <c:v>0.8035998755232675</c:v>
                </c:pt>
                <c:pt idx="2">
                  <c:v>0.74055010394680532</c:v>
                </c:pt>
                <c:pt idx="3">
                  <c:v>0.69650583684919043</c:v>
                </c:pt>
                <c:pt idx="4">
                  <c:v>0.63164478242236355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F-40A7-A2CC-4A08D37E2C44}"/>
            </c:ext>
          </c:extLst>
        </c:ser>
        <c:ser>
          <c:idx val="2"/>
          <c:order val="2"/>
          <c:tx>
            <c:strRef>
              <c:f>'1. DB_Experiment_VER2'!$I$33</c:f>
              <c:strCache>
                <c:ptCount val="1"/>
                <c:pt idx="0">
                  <c:v>C2H2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DB_Experiment_VER2'!$J$33:$N$33</c:f>
              <c:numCache>
                <c:formatCode>0%</c:formatCode>
                <c:ptCount val="5"/>
                <c:pt idx="0">
                  <c:v>0.43884251816583364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2.8892479591324394E-3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1F-40A7-A2CC-4A08D37E2C44}"/>
            </c:ext>
          </c:extLst>
        </c:ser>
        <c:ser>
          <c:idx val="3"/>
          <c:order val="3"/>
          <c:tx>
            <c:strRef>
              <c:f>'1. DB_Experiment_VER2'!$I$34</c:f>
              <c:strCache>
                <c:ptCount val="1"/>
                <c:pt idx="0">
                  <c:v>C3-C5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DB_Experiment_VER2'!$J$34:$N$34</c:f>
              <c:numCache>
                <c:formatCode>0%</c:formatCode>
                <c:ptCount val="5"/>
                <c:pt idx="0">
                  <c:v>0</c:v>
                </c:pt>
                <c:pt idx="1">
                  <c:v>1.1321340193486103E-2</c:v>
                </c:pt>
                <c:pt idx="2">
                  <c:v>1.2522924314677344E-2</c:v>
                </c:pt>
                <c:pt idx="3">
                  <c:v>1.6848694070758848E-2</c:v>
                </c:pt>
                <c:pt idx="4">
                  <c:v>2.4633651329234632E-2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1F-40A7-A2CC-4A08D37E2C44}"/>
            </c:ext>
          </c:extLst>
        </c:ser>
        <c:ser>
          <c:idx val="4"/>
          <c:order val="4"/>
          <c:tx>
            <c:strRef>
              <c:f>'1. DB_Experiment_VER2'!$I$35</c:f>
              <c:strCache>
                <c:ptCount val="1"/>
                <c:pt idx="0">
                  <c:v>Benzene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DB_Experiment_VER2'!$J$35:$N$35</c:f>
              <c:numCache>
                <c:formatCode>0%</c:formatCode>
                <c:ptCount val="5"/>
                <c:pt idx="0">
                  <c:v>7.9255164038676135E-2</c:v>
                </c:pt>
                <c:pt idx="1">
                  <c:v>8.3445402009679301E-2</c:v>
                </c:pt>
                <c:pt idx="2">
                  <c:v>0.11024425637396726</c:v>
                </c:pt>
                <c:pt idx="3">
                  <c:v>0.14363808343728618</c:v>
                </c:pt>
                <c:pt idx="4">
                  <c:v>0.17764823622037204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1F-40A7-A2CC-4A08D37E2C44}"/>
            </c:ext>
          </c:extLst>
        </c:ser>
        <c:ser>
          <c:idx val="5"/>
          <c:order val="5"/>
          <c:tx>
            <c:strRef>
              <c:f>'1. DB_Experiment_VER2'!$I$36</c:f>
              <c:strCache>
                <c:ptCount val="1"/>
                <c:pt idx="0">
                  <c:v>Toluene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DB_Experiment_VER2'!$J$36:$N$36</c:f>
              <c:numCache>
                <c:formatCode>0%</c:formatCode>
                <c:ptCount val="5"/>
                <c:pt idx="0">
                  <c:v>0</c:v>
                </c:pt>
                <c:pt idx="1">
                  <c:v>1.1309407676119865E-3</c:v>
                </c:pt>
                <c:pt idx="2">
                  <c:v>1.7687450738739121E-3</c:v>
                </c:pt>
                <c:pt idx="3">
                  <c:v>3.0589795660988803E-3</c:v>
                </c:pt>
                <c:pt idx="4">
                  <c:v>6.8900669703358501E-3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1F-40A7-A2CC-4A08D37E2C44}"/>
            </c:ext>
          </c:extLst>
        </c:ser>
        <c:ser>
          <c:idx val="6"/>
          <c:order val="6"/>
          <c:tx>
            <c:strRef>
              <c:f>'1. DB_Experiment_VER2'!$I$37</c:f>
              <c:strCache>
                <c:ptCount val="1"/>
                <c:pt idx="0">
                  <c:v>Naphthalene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DB_Experiment_VER2'!$J$37:$N$37</c:f>
              <c:numCache>
                <c:formatCode>0%</c:formatCode>
                <c:ptCount val="5"/>
                <c:pt idx="0">
                  <c:v>2.8367204103825087E-2</c:v>
                </c:pt>
                <c:pt idx="1">
                  <c:v>1.0021032997025399E-2</c:v>
                </c:pt>
                <c:pt idx="2">
                  <c:v>1.6283698015376775E-2</c:v>
                </c:pt>
                <c:pt idx="3">
                  <c:v>2.5301165658279695E-2</c:v>
                </c:pt>
                <c:pt idx="4">
                  <c:v>3.6054899933164374E-2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1F-40A7-A2CC-4A08D37E2C44}"/>
            </c:ext>
          </c:extLst>
        </c:ser>
        <c:ser>
          <c:idx val="7"/>
          <c:order val="7"/>
          <c:tx>
            <c:strRef>
              <c:f>'1. DB_Experiment_VER2'!$I$38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'1. DB_Experiment_VER2'!$J$29:$N$30</c:f>
              <c:multiLvlStrCache>
                <c:ptCount val="5"/>
                <c:lvl>
                  <c:pt idx="0">
                    <c:v>4.44</c:v>
                  </c:pt>
                  <c:pt idx="1">
                    <c:v>4.56</c:v>
                  </c:pt>
                  <c:pt idx="2">
                    <c:v>3.44</c:v>
                  </c:pt>
                  <c:pt idx="3">
                    <c:v>2.33</c:v>
                  </c:pt>
                  <c:pt idx="4">
                    <c:v>1.22</c:v>
                  </c:pt>
                </c:lvl>
                <c:lvl>
                  <c:pt idx="0">
                    <c:v>Previous (2019)</c:v>
                  </c:pt>
                  <c:pt idx="1">
                    <c:v>Current data (2021)</c:v>
                  </c:pt>
                </c:lvl>
              </c:multiLvlStrCache>
            </c:multiLvlStrRef>
          </c:cat>
          <c:val>
            <c:numRef>
              <c:f>'1. DB_Experiment_VER2'!$J$38:$N$38</c:f>
              <c:numCache>
                <c:formatCode>0%</c:formatCode>
                <c:ptCount val="5"/>
                <c:pt idx="0">
                  <c:v>5.9704411212390049E-2</c:v>
                </c:pt>
                <c:pt idx="1">
                  <c:v>2.9970968967672582E-2</c:v>
                </c:pt>
                <c:pt idx="2">
                  <c:v>7.4706535745351521E-2</c:v>
                </c:pt>
                <c:pt idx="3">
                  <c:v>7.961218263107496E-2</c:v>
                </c:pt>
                <c:pt idx="4">
                  <c:v>9.0401681392254296E-2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1F-40A7-A2CC-4A08D37E2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261327"/>
        <c:axId val="417265071"/>
      </c:barChart>
      <c:lineChart>
        <c:grouping val="standard"/>
        <c:varyColors val="0"/>
        <c:ser>
          <c:idx val="8"/>
          <c:order val="8"/>
          <c:tx>
            <c:strRef>
              <c:f>'1. DB_Experiment_VER2'!$I$39</c:f>
              <c:strCache>
                <c:ptCount val="1"/>
                <c:pt idx="0">
                  <c:v>Conversion</c:v>
                </c:pt>
              </c:strCache>
            </c:strRef>
          </c:tx>
          <c:spPr>
            <a:ln w="6350" cap="flat" cmpd="sng" algn="ctr">
              <a:solidFill>
                <a:sysClr val="windowText" lastClr="000000"/>
              </a:solidFill>
              <a:prstDash val="solid"/>
              <a:miter lim="800000"/>
            </a:ln>
            <a:effectLst/>
          </c:spPr>
          <c:marker>
            <c:symbol val="circle"/>
            <c:size val="7"/>
            <c:spPr>
              <a:gradFill rotWithShape="1">
                <a:gsLst>
                  <a:gs pos="0">
                    <a:sysClr val="windowText" lastClr="000000">
                      <a:satMod val="103000"/>
                      <a:lumMod val="102000"/>
                      <a:tint val="94000"/>
                    </a:sysClr>
                  </a:gs>
                  <a:gs pos="50000">
                    <a:sysClr val="windowText" lastClr="000000">
                      <a:satMod val="110000"/>
                      <a:lumMod val="100000"/>
                      <a:shade val="100000"/>
                    </a:sysClr>
                  </a:gs>
                  <a:gs pos="100000">
                    <a:sysClr val="windowText" lastClr="000000">
                      <a:lumMod val="99000"/>
                      <a:satMod val="120000"/>
                      <a:shade val="78000"/>
                    </a:sysClr>
                  </a:gs>
                </a:gsLst>
                <a:lin ang="5400000" scaled="0"/>
              </a:gradFill>
              <a:ln w="6350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</c:marker>
          <c:cat>
            <c:numRef>
              <c:f>'1. DB_Experiment_VER2'!$J$30:$N$30</c:f>
              <c:numCache>
                <c:formatCode>0.00</c:formatCode>
                <c:ptCount val="5"/>
                <c:pt idx="0">
                  <c:v>4.4444444444444446</c:v>
                </c:pt>
                <c:pt idx="1">
                  <c:v>4.5555555555555554</c:v>
                </c:pt>
                <c:pt idx="2">
                  <c:v>3.4444444444444446</c:v>
                </c:pt>
                <c:pt idx="3">
                  <c:v>2.3333333333333335</c:v>
                </c:pt>
                <c:pt idx="4">
                  <c:v>1.2222222222222221</c:v>
                </c:pt>
              </c:numCache>
            </c:numRef>
          </c:cat>
          <c:val>
            <c:numRef>
              <c:f>'1. DB_Experiment_VER2'!$J$39:$N$39</c:f>
              <c:numCache>
                <c:formatCode>0%</c:formatCode>
                <c:ptCount val="5"/>
                <c:pt idx="0">
                  <c:v>0.30353962661239864</c:v>
                </c:pt>
                <c:pt idx="1">
                  <c:v>0.27434898653587447</c:v>
                </c:pt>
                <c:pt idx="2">
                  <c:v>0.30947343918454906</c:v>
                </c:pt>
                <c:pt idx="3">
                  <c:v>0.31688025572104456</c:v>
                </c:pt>
                <c:pt idx="4">
                  <c:v>0.28071854230637039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1F-40A7-A2CC-4A08D37E2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807711"/>
        <c:axId val="495806463"/>
      </c:lineChart>
      <c:catAx>
        <c:axId val="41726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 study (H2/CH4 ratio)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7265071"/>
        <c:crosses val="autoZero"/>
        <c:auto val="1"/>
        <c:lblAlgn val="ctr"/>
        <c:lblOffset val="100"/>
        <c:noMultiLvlLbl val="0"/>
      </c:catAx>
      <c:valAx>
        <c:axId val="417265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Selectivity</a:t>
                </a:r>
              </a:p>
            </c:rich>
          </c:tx>
          <c:layout>
            <c:manualLayout>
              <c:xMode val="edge"/>
              <c:yMode val="edge"/>
              <c:x val="0"/>
              <c:y val="0.23540185210581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%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7261327"/>
        <c:crosses val="autoZero"/>
        <c:crossBetween val="between"/>
        <c:majorUnit val="0.2"/>
      </c:valAx>
      <c:valAx>
        <c:axId val="4958064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conversion</a:t>
                </a:r>
              </a:p>
            </c:rich>
          </c:tx>
          <c:layout>
            <c:manualLayout>
              <c:xMode val="edge"/>
              <c:yMode val="edge"/>
              <c:x val="0.95667926906112166"/>
              <c:y val="0.14065772030109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%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5807711"/>
        <c:crosses val="max"/>
        <c:crossBetween val="between"/>
        <c:majorUnit val="2.0000000000000004E-2"/>
      </c:valAx>
      <c:catAx>
        <c:axId val="49580771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95806463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5.8528497314003974E-2"/>
          <c:y val="0.86175347955322623"/>
          <c:w val="0.92292913590240455"/>
          <c:h val="0.13517408115783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013554985739434"/>
          <c:y val="3.7932946620058881E-2"/>
          <c:w val="0.73488594176942179"/>
          <c:h val="0.6477536340804622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'3. UPC &amp; MSP (fixed)'!$B$64</c:f>
              <c:strCache>
                <c:ptCount val="1"/>
                <c:pt idx="0">
                  <c:v>Total production cost ($/y)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(fixed)'!$E$99:$I$99</c:f>
              <c:numCache>
                <c:formatCode>#,##0</c:formatCode>
                <c:ptCount val="5"/>
                <c:pt idx="0">
                  <c:v>1474990833.5995262</c:v>
                </c:pt>
                <c:pt idx="1">
                  <c:v>1778738749.0754175</c:v>
                </c:pt>
                <c:pt idx="2">
                  <c:v>1400781518.6725161</c:v>
                </c:pt>
                <c:pt idx="3">
                  <c:v>1179769563.3193183</c:v>
                </c:pt>
                <c:pt idx="4">
                  <c:v>1015899024.8312377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E-4C8C-B0B2-30B4949E46EB}"/>
            </c:ext>
          </c:extLst>
        </c:ser>
        <c:ser>
          <c:idx val="1"/>
          <c:order val="2"/>
          <c:tx>
            <c:strRef>
              <c:f>'3. UPC &amp; MSP (fixed)'!$D$101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(fixed)'!$E$101:$I$101</c:f>
              <c:numCache>
                <c:formatCode>_(* #,##0_);_(* \(#,##0\);_(* "-"??_);_(@_)</c:formatCode>
                <c:ptCount val="5"/>
                <c:pt idx="0">
                  <c:v>-498950423.14199013</c:v>
                </c:pt>
                <c:pt idx="1">
                  <c:v>-391262606.63544977</c:v>
                </c:pt>
                <c:pt idx="2">
                  <c:v>-417552755.28471684</c:v>
                </c:pt>
                <c:pt idx="3">
                  <c:v>-428681322.66709733</c:v>
                </c:pt>
                <c:pt idx="4">
                  <c:v>-441818803.71908283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E-4C8C-B0B2-30B4949E46EB}"/>
            </c:ext>
          </c:extLst>
        </c:ser>
        <c:ser>
          <c:idx val="2"/>
          <c:order val="3"/>
          <c:tx>
            <c:strRef>
              <c:f>'3. UPC &amp; MSP (fixed)'!$D$102</c:f>
              <c:strCache>
                <c:ptCount val="1"/>
                <c:pt idx="0">
                  <c:v>Raw Naphthalene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(fixed)'!$E$102:$I$102</c:f>
              <c:numCache>
                <c:formatCode>_(* #,##0_);_(* \(#,##0\);_(* "-"??_);_(@_)</c:formatCode>
                <c:ptCount val="5"/>
                <c:pt idx="0">
                  <c:v>-16633321.751775734</c:v>
                </c:pt>
                <c:pt idx="1">
                  <c:v>-6149555.850917113</c:v>
                </c:pt>
                <c:pt idx="2">
                  <c:v>-10270898.182717923</c:v>
                </c:pt>
                <c:pt idx="3">
                  <c:v>-15892269.166859711</c:v>
                </c:pt>
                <c:pt idx="4">
                  <c:v>-22849334.282164499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E-4C8C-B0B2-30B4949E46EB}"/>
            </c:ext>
          </c:extLst>
        </c:ser>
        <c:ser>
          <c:idx val="0"/>
          <c:order val="4"/>
          <c:tx>
            <c:strRef>
              <c:f>'3. UPC &amp; MSP (fixed)'!$D$103</c:f>
              <c:strCache>
                <c:ptCount val="1"/>
                <c:pt idx="0">
                  <c:v>Benzene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'3. UPC &amp; MSP (fixed)'!$E$103:$I$103</c:f>
              <c:numCache>
                <c:formatCode>_(* #,##0_);_(* \(#,##0\);_(* "-"??_);_(@_)</c:formatCode>
                <c:ptCount val="5"/>
                <c:pt idx="0">
                  <c:v>-57234671.314766191</c:v>
                </c:pt>
                <c:pt idx="1">
                  <c:v>-65981797.270155348</c:v>
                </c:pt>
                <c:pt idx="2">
                  <c:v>-88787903.393971413</c:v>
                </c:pt>
                <c:pt idx="3">
                  <c:v>-117052719.2156772</c:v>
                </c:pt>
                <c:pt idx="4">
                  <c:v>-146667912.12985632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8E-4C8C-B0B2-30B4949E46EB}"/>
            </c:ext>
          </c:extLst>
        </c:ser>
        <c:ser>
          <c:idx val="5"/>
          <c:order val="5"/>
          <c:tx>
            <c:strRef>
              <c:f>'3. UPC &amp; MSP (fixed)'!$D$104</c:f>
              <c:strCache>
                <c:ptCount val="1"/>
                <c:pt idx="0">
                  <c:v>C2-C5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UPC &amp; MSP (fixed)'!$E$98:$I$98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(fixed)'!$E$104:$I$104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-18492064.115732126</c:v>
                </c:pt>
                <c:pt idx="2">
                  <c:v>-14365132.828600161</c:v>
                </c:pt>
                <c:pt idx="3">
                  <c:v>-12857626.336861549</c:v>
                </c:pt>
                <c:pt idx="4">
                  <c:v>-13902896.603516912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8E-4C8C-B0B2-30B4949E46EB}"/>
            </c:ext>
          </c:extLst>
        </c:ser>
        <c:ser>
          <c:idx val="6"/>
          <c:order val="6"/>
          <c:tx>
            <c:strRef>
              <c:f>'3. UPC &amp; MSP (fixed)'!$D$105</c:f>
              <c:strCache>
                <c:ptCount val="1"/>
                <c:pt idx="0">
                  <c:v>Raw Acethylene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UPC &amp; MSP (fixed)'!$E$98:$I$98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(fixed)'!$E$105:$I$105</c:f>
              <c:numCache>
                <c:formatCode>_(* #,##0_);_(* \(#,##0\);_(* "-"??_);_(@_)</c:formatCode>
                <c:ptCount val="5"/>
                <c:pt idx="0">
                  <c:v>-351575280.12448704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8E-4C8C-B0B2-30B4949E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48495808"/>
        <c:axId val="548484992"/>
      </c:barChart>
      <c:barChart>
        <c:barDir val="col"/>
        <c:grouping val="stacked"/>
        <c:varyColors val="0"/>
        <c:ser>
          <c:idx val="4"/>
          <c:order val="1"/>
          <c:tx>
            <c:strRef>
              <c:f>'3. UPC &amp; MSP (fixed)'!$D$100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'3. UPC &amp; MSP (fixed)'!$E$98:$I$98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(fixed)'!$E$100:$I$100</c:f>
              <c:numCache>
                <c:formatCode>#,##0</c:formatCode>
                <c:ptCount val="5"/>
                <c:pt idx="0">
                  <c:v>550597137.26650703</c:v>
                </c:pt>
                <c:pt idx="1">
                  <c:v>1296852725.2031631</c:v>
                </c:pt>
                <c:pt idx="2">
                  <c:v>869804828.98250973</c:v>
                </c:pt>
                <c:pt idx="3">
                  <c:v>605285625.93282259</c:v>
                </c:pt>
                <c:pt idx="4">
                  <c:v>390660078.0966171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8E-4C8C-B0B2-30B4949E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254028384"/>
        <c:axId val="254034208"/>
      </c:ba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2000000000"/>
          <c:min val="-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Production cost (MM$)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500000000"/>
        <c:dispUnits>
          <c:builtInUnit val="millions"/>
        </c:dispUnits>
      </c:valAx>
      <c:valAx>
        <c:axId val="254034208"/>
        <c:scaling>
          <c:orientation val="minMax"/>
          <c:max val="2000000000"/>
          <c:min val="-1000000000"/>
        </c:scaling>
        <c:delete val="1"/>
        <c:axPos val="r"/>
        <c:numFmt formatCode="#,##0" sourceLinked="1"/>
        <c:majorTickMark val="out"/>
        <c:minorTickMark val="none"/>
        <c:tickLblPos val="nextTo"/>
        <c:crossAx val="254028384"/>
        <c:crosses val="max"/>
        <c:crossBetween val="between"/>
      </c:valAx>
      <c:catAx>
        <c:axId val="25402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4034208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1187964789136182"/>
          <c:y val="0.8011690035970368"/>
          <c:w val="0.87218021768800824"/>
          <c:h val="0.1717166593291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013554985739434"/>
          <c:y val="3.7932946620058881E-2"/>
          <c:w val="0.73488594176942179"/>
          <c:h val="0.6477536340804622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'3. UPC &amp; MSP (fixed)'!$D$109</c:f>
              <c:strCache>
                <c:ptCount val="1"/>
                <c:pt idx="0">
                  <c:v>Annualized capital cost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(fixed)'!$E$109:$I$109</c:f>
              <c:numCache>
                <c:formatCode>#,##0.00</c:formatCode>
                <c:ptCount val="5"/>
                <c:pt idx="0">
                  <c:v>0.1722686614526035</c:v>
                </c:pt>
                <c:pt idx="1">
                  <c:v>0.20109513675825069</c:v>
                </c:pt>
                <c:pt idx="2">
                  <c:v>0.13166590510724394</c:v>
                </c:pt>
                <c:pt idx="3">
                  <c:v>9.750107723472852E-2</c:v>
                </c:pt>
                <c:pt idx="4">
                  <c:v>7.1511549608191699E-2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1-49D7-B151-B14ECF71E42F}"/>
            </c:ext>
          </c:extLst>
        </c:ser>
        <c:ser>
          <c:idx val="1"/>
          <c:order val="1"/>
          <c:tx>
            <c:strRef>
              <c:f>'3. UPC &amp; MSP (fixed)'!$D$110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(fixed)'!$E$110:$I$110</c:f>
              <c:numCache>
                <c:formatCode>#,##0.00</c:formatCode>
                <c:ptCount val="5"/>
                <c:pt idx="0">
                  <c:v>0.23233016619264482</c:v>
                </c:pt>
                <c:pt idx="1">
                  <c:v>0.22161587363263863</c:v>
                </c:pt>
                <c:pt idx="2">
                  <c:v>0.19755683334648511</c:v>
                </c:pt>
                <c:pt idx="3">
                  <c:v>0.16842421192094459</c:v>
                </c:pt>
                <c:pt idx="4">
                  <c:v>0.13614520620375997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1-49D7-B151-B14ECF71E42F}"/>
            </c:ext>
          </c:extLst>
        </c:ser>
        <c:ser>
          <c:idx val="2"/>
          <c:order val="2"/>
          <c:tx>
            <c:strRef>
              <c:f>'3. UPC &amp; MSP (fixed)'!$D$111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(fixed)'!$E$111:$I$111</c:f>
              <c:numCache>
                <c:formatCode>#,##0.00</c:formatCode>
                <c:ptCount val="5"/>
                <c:pt idx="0">
                  <c:v>0.71838684601921843</c:v>
                </c:pt>
                <c:pt idx="1">
                  <c:v>0.86913370089039554</c:v>
                </c:pt>
                <c:pt idx="2">
                  <c:v>0.57790044900915505</c:v>
                </c:pt>
                <c:pt idx="3">
                  <c:v>0.38519396316419285</c:v>
                </c:pt>
                <c:pt idx="4">
                  <c:v>0.24535000431574067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91-49D7-B151-B14ECF71E42F}"/>
            </c:ext>
          </c:extLst>
        </c:ser>
        <c:ser>
          <c:idx val="0"/>
          <c:order val="3"/>
          <c:tx>
            <c:strRef>
              <c:f>'3. UPC &amp; MSP (fixed)'!$D$112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(fixed)'!$E$112:$I$112</c:f>
              <c:numCache>
                <c:formatCode>#,##0.00</c:formatCode>
                <c:ptCount val="5"/>
                <c:pt idx="0">
                  <c:v>7.7401443083982835E-3</c:v>
                </c:pt>
                <c:pt idx="1">
                  <c:v>8.8501201228573401E-3</c:v>
                </c:pt>
                <c:pt idx="2">
                  <c:v>5.9904803900199706E-3</c:v>
                </c:pt>
                <c:pt idx="3">
                  <c:v>4.5187157945102098E-3</c:v>
                </c:pt>
                <c:pt idx="4">
                  <c:v>3.3613418089369186E-3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91-49D7-B151-B14ECF71E42F}"/>
            </c:ext>
          </c:extLst>
        </c:ser>
        <c:ser>
          <c:idx val="5"/>
          <c:order val="4"/>
          <c:tx>
            <c:strRef>
              <c:f>'3. UPC &amp; MSP (fixed)'!$D$113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(fixed)'!$E$113:$I$113</c:f>
              <c:numCache>
                <c:formatCode>#,##0.00</c:formatCode>
                <c:ptCount val="5"/>
                <c:pt idx="0">
                  <c:v>-0.38249466537926508</c:v>
                </c:pt>
                <c:pt idx="1">
                  <c:v>-0.28610904801898146</c:v>
                </c:pt>
                <c:pt idx="2">
                  <c:v>-0.27218600675245658</c:v>
                </c:pt>
                <c:pt idx="3">
                  <c:v>-0.23823275332791988</c:v>
                </c:pt>
                <c:pt idx="4">
                  <c:v>-0.19847642720858535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91-49D7-B151-B14ECF71E42F}"/>
            </c:ext>
          </c:extLst>
        </c:ser>
        <c:ser>
          <c:idx val="6"/>
          <c:order val="5"/>
          <c:tx>
            <c:strRef>
              <c:f>'3. UPC &amp; MSP (fixed)'!$D$114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(fixed)'!$E$114:$I$114</c:f>
              <c:numCache>
                <c:formatCode>#,##0.00</c:formatCode>
                <c:ptCount val="5"/>
                <c:pt idx="0">
                  <c:v>-1.2751080152467538E-2</c:v>
                </c:pt>
                <c:pt idx="1">
                  <c:v>-4.4968354767537886E-3</c:v>
                </c:pt>
                <c:pt idx="2">
                  <c:v>-6.6951893544776667E-3</c:v>
                </c:pt>
                <c:pt idx="3">
                  <c:v>-8.8318730955991524E-3</c:v>
                </c:pt>
                <c:pt idx="4">
                  <c:v>-1.0264511592182331E-2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91-49D7-B151-B14ECF71E42F}"/>
            </c:ext>
          </c:extLst>
        </c:ser>
        <c:ser>
          <c:idx val="4"/>
          <c:order val="6"/>
          <c:tx>
            <c:strRef>
              <c:f>'3. UPC &amp; MSP (fixed)'!$D$115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(fixed)'!$E$115:$I$115</c:f>
              <c:numCache>
                <c:formatCode>#,##0.00</c:formatCode>
                <c:ptCount val="5"/>
                <c:pt idx="0">
                  <c:v>-4.3876015406051183E-2</c:v>
                </c:pt>
                <c:pt idx="1">
                  <c:v>-4.8248896989879546E-2</c:v>
                </c:pt>
                <c:pt idx="2">
                  <c:v>-5.7877297100456984E-2</c:v>
                </c:pt>
                <c:pt idx="3">
                  <c:v>-6.5050166892682809E-2</c:v>
                </c:pt>
                <c:pt idx="4">
                  <c:v>-6.5887017348825683E-2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1-49D7-B151-B14ECF71E42F}"/>
            </c:ext>
          </c:extLst>
        </c:ser>
        <c:ser>
          <c:idx val="7"/>
          <c:order val="7"/>
          <c:tx>
            <c:strRef>
              <c:f>'3. UPC &amp; MSP (fixed)'!$D$116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9C85C0"/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(fixed)'!$E$116:$I$116</c:f>
              <c:numCache>
                <c:formatCode>#,##0.00</c:formatCode>
                <c:ptCount val="5"/>
                <c:pt idx="0">
                  <c:v>0</c:v>
                </c:pt>
                <c:pt idx="1">
                  <c:v>-1.35222399747176E-2</c:v>
                </c:pt>
                <c:pt idx="2">
                  <c:v>-9.3640578144890789E-3</c:v>
                </c:pt>
                <c:pt idx="3">
                  <c:v>-7.1454191296102549E-3</c:v>
                </c:pt>
                <c:pt idx="4">
                  <c:v>-6.245540530391034E-3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91-49D7-B151-B14ECF71E42F}"/>
            </c:ext>
          </c:extLst>
        </c:ser>
        <c:ser>
          <c:idx val="8"/>
          <c:order val="8"/>
          <c:tx>
            <c:strRef>
              <c:f>'3. UPC &amp; MSP (fixed)'!$D$117</c:f>
              <c:strCache>
                <c:ptCount val="1"/>
                <c:pt idx="0">
                  <c:v>Credit_Raw Acethylene</c:v>
                </c:pt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91-49D7-B151-B14ECF71E42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91-49D7-B151-B14ECF71E42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91-49D7-B151-B14ECF71E42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91-49D7-B151-B14ECF71E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(fixed)'!$E$117:$I$117</c:f>
              <c:numCache>
                <c:formatCode>#,##0.00</c:formatCode>
                <c:ptCount val="5"/>
                <c:pt idx="0">
                  <c:v>-0.26951709606741486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91-49D7-B151-B14ECF71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48495808"/>
        <c:axId val="548484992"/>
      </c:barChart>
      <c:scatterChart>
        <c:scatterStyle val="lineMarker"/>
        <c:varyColors val="0"/>
        <c:ser>
          <c:idx val="9"/>
          <c:order val="9"/>
          <c:tx>
            <c:strRef>
              <c:f>'3. UPC &amp; MSP (fixed)'!$B$71</c:f>
              <c:strCache>
                <c:ptCount val="1"/>
                <c:pt idx="0">
                  <c:v>UPC_Ethylene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7468960642542986E-2"/>
                  <c:y val="-3.454228620751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F91-49D7-B151-B14ECF71E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xVal>
          <c:yVal>
            <c:numRef>
              <c:f>'3. UPC &amp; MSP (fixed)'!$E$71:$I$71</c:f>
              <c:numCache>
                <c:formatCode>_(* #,##0.000_);_(* \(#,##0.000\);_(* "-"??_);_(@_)</c:formatCode>
                <c:ptCount val="5"/>
                <c:pt idx="0">
                  <c:v>1.1307258179728652</c:v>
                </c:pt>
                <c:pt idx="1">
                  <c:v>1.3006948314041424</c:v>
                </c:pt>
                <c:pt idx="2">
                  <c:v>0.91311366785290404</c:v>
                </c:pt>
                <c:pt idx="3">
                  <c:v>0.65563796811437602</c:v>
                </c:pt>
                <c:pt idx="4">
                  <c:v>0.45636810193662924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F91-49D7-B151-B14ECF71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Unit production cost (M$)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95883427673483"/>
          <c:y val="0.76387173905904637"/>
          <c:w val="0.75828263786127792"/>
          <c:h val="0.23612826094095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731689362451412"/>
          <c:y val="3.7932946620058881E-2"/>
          <c:w val="0.80770464307962286"/>
          <c:h val="0.6477536340804622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'3. UPC &amp; MSP (fixed)'!$D$122</c:f>
              <c:strCache>
                <c:ptCount val="1"/>
                <c:pt idx="0">
                  <c:v>Return on investment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(fixed)'!$E$122:$I$122</c:f>
              <c:numCache>
                <c:formatCode>#,##0.00</c:formatCode>
                <c:ptCount val="5"/>
                <c:pt idx="0">
                  <c:v>0.18636889128457726</c:v>
                </c:pt>
                <c:pt idx="1">
                  <c:v>0.20478930120129388</c:v>
                </c:pt>
                <c:pt idx="2">
                  <c:v>0.13538432628314606</c:v>
                </c:pt>
                <c:pt idx="3">
                  <c:v>0.10190993825611785</c:v>
                </c:pt>
                <c:pt idx="4">
                  <c:v>7.7242525871391007E-2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1-4419-A09F-1E82FB3178E3}"/>
            </c:ext>
          </c:extLst>
        </c:ser>
        <c:ser>
          <c:idx val="1"/>
          <c:order val="1"/>
          <c:tx>
            <c:strRef>
              <c:f>'3. UPC &amp; MSP (fixed)'!$D$123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(fixed)'!$E$123:$I$123</c:f>
              <c:numCache>
                <c:formatCode>#,##0.00</c:formatCode>
                <c:ptCount val="5"/>
                <c:pt idx="0">
                  <c:v>0.25134644409597229</c:v>
                </c:pt>
                <c:pt idx="1">
                  <c:v>0.22568700878580666</c:v>
                </c:pt>
                <c:pt idx="2">
                  <c:v>0.20313610242120414</c:v>
                </c:pt>
                <c:pt idx="3">
                  <c:v>0.17604011693508917</c:v>
                </c:pt>
                <c:pt idx="4">
                  <c:v>0.14705596047180547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1-4419-A09F-1E82FB3178E3}"/>
            </c:ext>
          </c:extLst>
        </c:ser>
        <c:ser>
          <c:idx val="2"/>
          <c:order val="2"/>
          <c:tx>
            <c:strRef>
              <c:f>'3. UPC &amp; MSP (fixed)'!$D$124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(fixed)'!$E$124:$I$124</c:f>
              <c:numCache>
                <c:formatCode>#,##0.00</c:formatCode>
                <c:ptCount val="5"/>
                <c:pt idx="0">
                  <c:v>0.77718697572200035</c:v>
                </c:pt>
                <c:pt idx="1">
                  <c:v>0.88509988916246529</c:v>
                </c:pt>
                <c:pt idx="2">
                  <c:v>0.59422113024708589</c:v>
                </c:pt>
                <c:pt idx="3">
                  <c:v>0.40261189020699467</c:v>
                </c:pt>
                <c:pt idx="4">
                  <c:v>0.26501249322296311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1-4419-A09F-1E82FB3178E3}"/>
            </c:ext>
          </c:extLst>
        </c:ser>
        <c:ser>
          <c:idx val="0"/>
          <c:order val="3"/>
          <c:tx>
            <c:strRef>
              <c:f>'3. UPC &amp; MSP (fixed)'!$D$125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(fixed)'!$E$125:$I$125</c:f>
              <c:numCache>
                <c:formatCode>#,##0.00</c:formatCode>
                <c:ptCount val="5"/>
                <c:pt idx="0">
                  <c:v>8.3736769124180023E-3</c:v>
                </c:pt>
                <c:pt idx="1">
                  <c:v>9.0126988883191018E-3</c:v>
                </c:pt>
                <c:pt idx="2">
                  <c:v>6.159659564521777E-3</c:v>
                </c:pt>
                <c:pt idx="3">
                  <c:v>4.7230457414008508E-3</c:v>
                </c:pt>
                <c:pt idx="4">
                  <c:v>3.6307216535223343E-3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C1-4419-A09F-1E82FB3178E3}"/>
            </c:ext>
          </c:extLst>
        </c:ser>
        <c:ser>
          <c:idx val="10"/>
          <c:order val="4"/>
          <c:tx>
            <c:strRef>
              <c:f>'3. UPC &amp; MSP (fixed)'!$D$126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rgbClr val="91A551"/>
            </a:solidFill>
            <a:ln w="25400"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(fixed)'!$E$126:$I$126</c:f>
              <c:numCache>
                <c:formatCode>#,##0.00</c:formatCode>
                <c:ptCount val="5"/>
                <c:pt idx="0">
                  <c:v>6.2694264025376076E-2</c:v>
                </c:pt>
                <c:pt idx="1">
                  <c:v>6.8890867089408211E-2</c:v>
                </c:pt>
                <c:pt idx="2">
                  <c:v>4.5543119553856676E-2</c:v>
                </c:pt>
                <c:pt idx="3">
                  <c:v>3.4282376912801601E-2</c:v>
                </c:pt>
                <c:pt idx="4">
                  <c:v>2.5984289961640608E-2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1-4419-A09F-1E82FB3178E3}"/>
            </c:ext>
          </c:extLst>
        </c:ser>
        <c:ser>
          <c:idx val="5"/>
          <c:order val="5"/>
          <c:tx>
            <c:strRef>
              <c:f>'3. UPC &amp; MSP (fixed)'!$D$127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(fixed)'!$E$127:$I$127</c:f>
              <c:numCache>
                <c:formatCode>#,##0.00</c:formatCode>
                <c:ptCount val="5"/>
                <c:pt idx="0">
                  <c:v>-0.41380194231445727</c:v>
                </c:pt>
                <c:pt idx="1">
                  <c:v>-0.29136493778868416</c:v>
                </c:pt>
                <c:pt idx="2">
                  <c:v>-0.2798729034510985</c:v>
                </c:pt>
                <c:pt idx="3">
                  <c:v>-0.24900530200076273</c:v>
                </c:pt>
                <c:pt idx="4">
                  <c:v>-0.21438244098355061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C1-4419-A09F-1E82FB3178E3}"/>
            </c:ext>
          </c:extLst>
        </c:ser>
        <c:ser>
          <c:idx val="6"/>
          <c:order val="6"/>
          <c:tx>
            <c:strRef>
              <c:f>'3. UPC &amp; MSP (fixed)'!$D$128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(fixed)'!$E$128:$I$128</c:f>
              <c:numCache>
                <c:formatCode>#,##0.00</c:formatCode>
                <c:ptCount val="5"/>
                <c:pt idx="0">
                  <c:v>-1.3794759015701626E-2</c:v>
                </c:pt>
                <c:pt idx="1">
                  <c:v>-4.5794433905613184E-3</c:v>
                </c:pt>
                <c:pt idx="2">
                  <c:v>-6.884270452215813E-3</c:v>
                </c:pt>
                <c:pt idx="3">
                  <c:v>-9.2312379245979327E-3</c:v>
                </c:pt>
                <c:pt idx="4">
                  <c:v>-1.1087115389896604E-2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C1-4419-A09F-1E82FB3178E3}"/>
            </c:ext>
          </c:extLst>
        </c:ser>
        <c:ser>
          <c:idx val="4"/>
          <c:order val="7"/>
          <c:tx>
            <c:strRef>
              <c:f>'3. UPC &amp; MSP (fixed)'!$D$129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(fixed)'!$E$129:$I$129</c:f>
              <c:numCache>
                <c:formatCode>#,##0.00</c:formatCode>
                <c:ptCount val="5"/>
                <c:pt idx="0">
                  <c:v>-4.7467277427360587E-2</c:v>
                </c:pt>
                <c:pt idx="1">
                  <c:v>-4.9135240451732329E-2</c:v>
                </c:pt>
                <c:pt idx="2">
                  <c:v>-5.9511829343006972E-2</c:v>
                </c:pt>
                <c:pt idx="3">
                  <c:v>-6.7991643575628286E-2</c:v>
                </c:pt>
                <c:pt idx="4">
                  <c:v>-7.1167240397381565E-2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C1-4419-A09F-1E82FB3178E3}"/>
            </c:ext>
          </c:extLst>
        </c:ser>
        <c:ser>
          <c:idx val="7"/>
          <c:order val="8"/>
          <c:tx>
            <c:strRef>
              <c:f>'3. UPC &amp; MSP (fixed)'!$D$130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9C85C0"/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(fixed)'!$E$130:$I$130</c:f>
              <c:numCache>
                <c:formatCode>#,##0.00</c:formatCode>
                <c:ptCount val="5"/>
                <c:pt idx="0">
                  <c:v>0</c:v>
                </c:pt>
                <c:pt idx="1">
                  <c:v>-1.3770646668734031E-2</c:v>
                </c:pt>
                <c:pt idx="2">
                  <c:v>-9.628511325376404E-3</c:v>
                </c:pt>
                <c:pt idx="3">
                  <c:v>-7.4685248918797955E-3</c:v>
                </c:pt>
                <c:pt idx="4">
                  <c:v>-6.7460617011197996E-3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C1-4419-A09F-1E82FB3178E3}"/>
            </c:ext>
          </c:extLst>
        </c:ser>
        <c:ser>
          <c:idx val="8"/>
          <c:order val="9"/>
          <c:tx>
            <c:strRef>
              <c:f>'3. UPC &amp; MSP (fixed)'!$D$131</c:f>
              <c:strCache>
                <c:ptCount val="1"/>
                <c:pt idx="0">
                  <c:v>Credit_Raw Acethylene</c:v>
                </c:pt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C1-4419-A09F-1E82FB317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(fixed)'!$E$131:$I$131</c:f>
              <c:numCache>
                <c:formatCode>#,##0.00</c:formatCode>
                <c:ptCount val="5"/>
                <c:pt idx="0">
                  <c:v>-0.29157713279233166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C1-4419-A09F-1E82FB31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495808"/>
        <c:axId val="548484992"/>
      </c:barChart>
      <c:scatterChart>
        <c:scatterStyle val="lineMarker"/>
        <c:varyColors val="0"/>
        <c:ser>
          <c:idx val="9"/>
          <c:order val="10"/>
          <c:tx>
            <c:strRef>
              <c:f>'3. UPC &amp; MSP (fixed)'!$B$89</c:f>
              <c:strCache>
                <c:ptCount val="1"/>
                <c:pt idx="0">
                  <c:v>MSP_Ethylene (99.9% vol)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0346497199057982E-2"/>
                  <c:y val="-1.4211079463238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C1-4419-A09F-1E82FB317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xVal>
          <c:yVal>
            <c:numRef>
              <c:f>'3. UPC &amp; MSP (fixed)'!$E$89:$I$89</c:f>
              <c:numCache>
                <c:formatCode>#,##0.00</c:formatCode>
                <c:ptCount val="5"/>
                <c:pt idx="0">
                  <c:v>1.2859702520403442</c:v>
                </c:pt>
                <c:pt idx="1">
                  <c:v>1.3934797651272934</c:v>
                </c:pt>
                <c:pt idx="2">
                  <c:v>0.98444433806981468</c:v>
                </c:pt>
                <c:pt idx="3">
                  <c:v>0.71956736805240407</c:v>
                </c:pt>
                <c:pt idx="4">
                  <c:v>0.51892599118132254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C1-4419-A09F-1E82FB31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Minimum selling price ($/kg)</a:t>
                </a:r>
              </a:p>
            </c:rich>
          </c:tx>
          <c:layout>
            <c:manualLayout>
              <c:xMode val="edge"/>
              <c:yMode val="edge"/>
              <c:x val="2.6577779980852981E-2"/>
              <c:y val="0.10282717135091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10"/>
        <c:delete val="1"/>
      </c:legendEntry>
      <c:layout>
        <c:manualLayout>
          <c:xMode val="edge"/>
          <c:yMode val="edge"/>
          <c:x val="0.14397205333349117"/>
          <c:y val="0.7787471819159183"/>
          <c:w val="0.81139717795931754"/>
          <c:h val="0.21976254208396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071219181998938"/>
          <c:y val="2.2684607428205054E-2"/>
          <c:w val="0.74037488680989849"/>
          <c:h val="0.691418854767903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UPC &amp; MSP (fixed)'!$B$41</c:f>
              <c:strCache>
                <c:ptCount val="1"/>
                <c:pt idx="0">
                  <c:v>Natural gas feedstock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47A9A91-D243-4302-AA01-E531DCBDF92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5A3-45DC-BC49-637AEA9C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4D7A95-35A8-4449-94A6-410F30848F39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A3-45DC-BC49-637AEA9C8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619F2D-20A5-4190-8F3B-48B257CCB35E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A3-45DC-BC49-637AEA9C8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292D4A-8ACF-4F87-830A-47D84126344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A3-45DC-BC49-637AEA9C8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33A859E-BEAF-476B-9BF6-38B1B57D4D8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A3-45DC-BC49-637AEA9C8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(fixed)'!$E$41:$I$41</c:f>
              <c:numCache>
                <c:formatCode>#,##0</c:formatCode>
                <c:ptCount val="5"/>
                <c:pt idx="0">
                  <c:v>303066278.36371672</c:v>
                </c:pt>
                <c:pt idx="1">
                  <c:v>303066278.36371672</c:v>
                </c:pt>
                <c:pt idx="2">
                  <c:v>303066278.36371672</c:v>
                </c:pt>
                <c:pt idx="3">
                  <c:v>303066278.36371672</c:v>
                </c:pt>
                <c:pt idx="4">
                  <c:v>303066278.36371672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'3. UPC &amp; MSP (fixed)'!$P$50:$T$50</c15:f>
                <c15:dlblRangeCache>
                  <c:ptCount val="5"/>
                  <c:pt idx="0">
                    <c:v>24%</c:v>
                  </c:pt>
                  <c:pt idx="1">
                    <c:v>20%</c:v>
                  </c:pt>
                  <c:pt idx="2">
                    <c:v>25%</c:v>
                  </c:pt>
                  <c:pt idx="3">
                    <c:v>30%</c:v>
                  </c:pt>
                  <c:pt idx="4">
                    <c:v>35%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35A3-45DC-BC49-637AEA9C8644}"/>
            </c:ext>
          </c:extLst>
        </c:ser>
        <c:ser>
          <c:idx val="1"/>
          <c:order val="1"/>
          <c:tx>
            <c:strRef>
              <c:f>'3. UPC &amp; MSP (fixed)'!$B$42</c:f>
              <c:strCache>
                <c:ptCount val="1"/>
                <c:pt idx="0">
                  <c:v>Fuel gas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B1F7B64-55F0-40B7-967C-5BEC5B159209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A3-45DC-BC49-637AEA9C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D650CA-C00B-4E9B-B4B3-E21AE25AE12C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A3-45DC-BC49-637AEA9C8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673CDA-F0B7-434C-8613-E58D593BC9F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A3-45DC-BC49-637AEA9C8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7F5BF5-9D8A-4316-995C-5764F8A9F8B4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A3-45DC-BC49-637AEA9C8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911552-CC2F-4B85-8D3A-F813A4B494D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A3-45DC-BC49-637AEA9C8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(fixed)'!$E$42:$I$42</c:f>
              <c:numCache>
                <c:formatCode>#,##0</c:formatCode>
                <c:ptCount val="5"/>
                <c:pt idx="0">
                  <c:v>143265609.75522712</c:v>
                </c:pt>
                <c:pt idx="1">
                  <c:v>243100096.25026989</c:v>
                </c:pt>
                <c:pt idx="2">
                  <c:v>187104088.90434361</c:v>
                </c:pt>
                <c:pt idx="3">
                  <c:v>156130685.60420069</c:v>
                </c:pt>
                <c:pt idx="4">
                  <c:v>136392638.43295923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'3. UPC &amp; MSP (fixed)'!$P$51:$T$51</c15:f>
                <c15:dlblRangeCache>
                  <c:ptCount val="5"/>
                  <c:pt idx="0">
                    <c:v>11%</c:v>
                  </c:pt>
                  <c:pt idx="1">
                    <c:v>16%</c:v>
                  </c:pt>
                  <c:pt idx="2">
                    <c:v>16%</c:v>
                  </c:pt>
                  <c:pt idx="3">
                    <c:v>16%</c:v>
                  </c:pt>
                  <c:pt idx="4">
                    <c:v>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35A3-45DC-BC49-637AEA9C8644}"/>
            </c:ext>
          </c:extLst>
        </c:ser>
        <c:ser>
          <c:idx val="2"/>
          <c:order val="2"/>
          <c:tx>
            <c:strRef>
              <c:f>'3. UPC &amp; MSP (fixed)'!$B$43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(fixed)'!$E$43:$I$43</c:f>
              <c:numCache>
                <c:formatCode>#,##0</c:formatCode>
                <c:ptCount val="5"/>
                <c:pt idx="0">
                  <c:v>14335462.4</c:v>
                </c:pt>
                <c:pt idx="1">
                  <c:v>220960613.79773313</c:v>
                </c:pt>
                <c:pt idx="2">
                  <c:v>170065896.88234177</c:v>
                </c:pt>
                <c:pt idx="3">
                  <c:v>141914200.58141279</c:v>
                </c:pt>
                <c:pt idx="4">
                  <c:v>123974308.59880991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A3-45DC-BC49-637AEA9C8644}"/>
            </c:ext>
          </c:extLst>
        </c:ser>
        <c:ser>
          <c:idx val="3"/>
          <c:order val="3"/>
          <c:tx>
            <c:strRef>
              <c:f>'3. UPC &amp; MSP (fixed)'!$B$44</c:f>
              <c:strCache>
                <c:ptCount val="1"/>
                <c:pt idx="0">
                  <c:v>CW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(fixed)'!$E$44:$I$44</c:f>
              <c:numCache>
                <c:formatCode>#,##0</c:formatCode>
                <c:ptCount val="5"/>
                <c:pt idx="0">
                  <c:v>101884143.59999999</c:v>
                </c:pt>
                <c:pt idx="1">
                  <c:v>100075606.56</c:v>
                </c:pt>
                <c:pt idx="2">
                  <c:v>70529291.640000001</c:v>
                </c:pt>
                <c:pt idx="3">
                  <c:v>53760233.879999995</c:v>
                </c:pt>
                <c:pt idx="4">
                  <c:v>44886791.879999995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5A3-45DC-BC49-637AEA9C8644}"/>
            </c:ext>
          </c:extLst>
        </c:ser>
        <c:ser>
          <c:idx val="4"/>
          <c:order val="4"/>
          <c:tx>
            <c:strRef>
              <c:f>'3. UPC &amp; MSP (fixed)'!$B$45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EA126D5-1DC8-48D2-8BE9-0199B023C61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A3-45DC-BC49-637AEA9C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D3BE3F-694C-4083-B838-C4EBA812B1DA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A3-45DC-BC49-637AEA9C8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8EFEC9B-7C81-45BC-B04B-33FE5D60ABD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5A3-45DC-BC49-637AEA9C8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8A37F67-7005-40BB-891B-1EA0BC18A70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5A3-45DC-BC49-637AEA9C8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9FC9D36-9E66-4AE2-B252-D52B5DE1971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5A3-45DC-BC49-637AEA9C8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(fixed)'!$E$45:$I$45</c:f>
              <c:numCache>
                <c:formatCode>#,##0</c:formatCode>
                <c:ptCount val="5"/>
                <c:pt idx="0">
                  <c:v>578820085.27200007</c:v>
                </c:pt>
                <c:pt idx="1">
                  <c:v>569343795.84000003</c:v>
                </c:pt>
                <c:pt idx="2">
                  <c:v>413724673.44000006</c:v>
                </c:pt>
                <c:pt idx="3">
                  <c:v>299483095.68000001</c:v>
                </c:pt>
                <c:pt idx="4">
                  <c:v>192992856.48000002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'3. UPC &amp; MSP (fixed)'!$P$54:$T$54</c15:f>
                <c15:dlblRangeCache>
                  <c:ptCount val="5"/>
                  <c:pt idx="0">
                    <c:v>46%</c:v>
                  </c:pt>
                  <c:pt idx="1">
                    <c:v>38%</c:v>
                  </c:pt>
                  <c:pt idx="2">
                    <c:v>35%</c:v>
                  </c:pt>
                  <c:pt idx="3">
                    <c:v>30%</c:v>
                  </c:pt>
                  <c:pt idx="4">
                    <c:v>23%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35A3-45DC-BC49-637AEA9C8644}"/>
            </c:ext>
          </c:extLst>
        </c:ser>
        <c:ser>
          <c:idx val="5"/>
          <c:order val="5"/>
          <c:tx>
            <c:strRef>
              <c:f>'3. UPC &amp; MSP (fixed)'!$B$46</c:f>
              <c:strCache>
                <c:ptCount val="1"/>
                <c:pt idx="0">
                  <c:v>HPS</c:v>
                </c:pt>
              </c:strCache>
            </c:strRef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(fixed)'!$E$46:$I$46</c:f>
              <c:numCache>
                <c:formatCode>#,##0</c:formatCode>
                <c:ptCount val="5"/>
                <c:pt idx="0">
                  <c:v>572343.22860000003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A3-45DC-BC49-637AEA9C8644}"/>
            </c:ext>
          </c:extLst>
        </c:ser>
        <c:ser>
          <c:idx val="6"/>
          <c:order val="6"/>
          <c:tx>
            <c:strRef>
              <c:f>'3. UPC &amp; MSP (fixed)'!$B$47</c:f>
              <c:strCache>
                <c:ptCount val="1"/>
                <c:pt idx="0">
                  <c:v>LPS</c:v>
                </c:pt>
              </c:strCache>
            </c:strRef>
          </c:tx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(fixed)'!$E$47:$I$47</c:f>
              <c:numCache>
                <c:formatCode>#,##0</c:formatCode>
                <c:ptCount val="5"/>
                <c:pt idx="0">
                  <c:v>12053565.09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5A3-45DC-BC49-637AEA9C8644}"/>
            </c:ext>
          </c:extLst>
        </c:ser>
        <c:ser>
          <c:idx val="7"/>
          <c:order val="7"/>
          <c:tx>
            <c:strRef>
              <c:f>'3. UPC &amp; MSP (fixed)'!$B$48</c:f>
              <c:strCache>
                <c:ptCount val="1"/>
                <c:pt idx="0">
                  <c:v>Refrigeration</c:v>
                </c:pt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(fixed)'!$E$48:$I$48</c:f>
              <c:numCache>
                <c:formatCode>#,##0</c:formatCode>
                <c:ptCount val="5"/>
                <c:pt idx="0">
                  <c:v>86178385.229866669</c:v>
                </c:pt>
                <c:pt idx="1">
                  <c:v>55085994.3552</c:v>
                </c:pt>
                <c:pt idx="2">
                  <c:v>45116572.076159999</c:v>
                </c:pt>
                <c:pt idx="3">
                  <c:v>41838381.273216002</c:v>
                </c:pt>
                <c:pt idx="4">
                  <c:v>47915217.997440003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5A3-45DC-BC49-637AEA9C8644}"/>
            </c:ext>
          </c:extLst>
        </c:ser>
        <c:ser>
          <c:idx val="8"/>
          <c:order val="8"/>
          <c:tx>
            <c:strRef>
              <c:f>'3. UPC &amp; MSP (fixed)'!$B$49</c:f>
              <c:strCache>
                <c:ptCount val="1"/>
                <c:pt idx="0">
                  <c:v>Fixed operating costs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(fixed)'!$E$49:$I$49</c:f>
              <c:numCache>
                <c:formatCode>#,##0</c:formatCode>
                <c:ptCount val="5"/>
                <c:pt idx="0">
                  <c:v>10096737.621232051</c:v>
                </c:pt>
                <c:pt idx="1">
                  <c:v>12102801.684469206</c:v>
                </c:pt>
                <c:pt idx="2">
                  <c:v>9189824.3490775209</c:v>
                </c:pt>
                <c:pt idx="3">
                  <c:v>8131077.8492367845</c:v>
                </c:pt>
                <c:pt idx="4">
                  <c:v>7482520.9109326778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5A3-45DC-BC49-637AEA9C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85844047"/>
        <c:axId val="1085858191"/>
      </c:ba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b="1" dirty="0"/>
                  <a:t>OPEX (M$)</a:t>
                </a:r>
              </a:p>
            </c:rich>
          </c:tx>
          <c:layout>
            <c:manualLayout>
              <c:xMode val="edge"/>
              <c:yMode val="edge"/>
              <c:x val="4.1858766544100685E-3"/>
              <c:y val="0.28989311033966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ko-K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440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00167243995633"/>
          <c:y val="0.78759268870423482"/>
          <c:w val="0.87699832756004348"/>
          <c:h val="0.212005960409309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071219181998938"/>
          <c:y val="2.2684607428205054E-2"/>
          <c:w val="0.74037488680989849"/>
          <c:h val="0.7473238153564806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(fixed)'!$E$21:$I$21</c:f>
              <c:numCache>
                <c:formatCode>#,##0</c:formatCode>
                <c:ptCount val="5"/>
                <c:pt idx="0">
                  <c:v>2529829068.224349</c:v>
                </c:pt>
                <c:pt idx="1">
                  <c:v>3095930522.1063867</c:v>
                </c:pt>
                <c:pt idx="2">
                  <c:v>2273902164.1687799</c:v>
                </c:pt>
                <c:pt idx="3">
                  <c:v>1975128666.8682957</c:v>
                </c:pt>
                <c:pt idx="4">
                  <c:v>1792108654.9168334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B-4E6F-9906-7C1C2B91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85844047"/>
        <c:axId val="1085858191"/>
      </c:ba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b="1" dirty="0"/>
                  <a:t>CAPEX (M$)</a:t>
                </a:r>
              </a:p>
            </c:rich>
          </c:tx>
          <c:layout>
            <c:manualLayout>
              <c:xMode val="edge"/>
              <c:yMode val="edge"/>
              <c:x val="4.1858766544100685E-3"/>
              <c:y val="0.366198163321352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ko-K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440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Sensitivity'!$B$15:$B$19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Sensitivity'!$E$15:$E$19</c:f>
              <c:numCache>
                <c:formatCode>0.0%</c:formatCode>
                <c:ptCount val="5"/>
                <c:pt idx="0">
                  <c:v>-9.0079491179174092</c:v>
                </c:pt>
                <c:pt idx="1">
                  <c:v>17.381693582109417</c:v>
                </c:pt>
                <c:pt idx="2">
                  <c:v>-3.9559325453344218</c:v>
                </c:pt>
                <c:pt idx="3">
                  <c:v>0</c:v>
                </c:pt>
                <c:pt idx="4">
                  <c:v>-2.8711108286854117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6-40BA-B4FF-16CDCE26EAC8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Sensitivity'!$B$15:$B$19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Sensitivity'!$F$15:$F$19</c:f>
              <c:numCache>
                <c:formatCode>0.0%</c:formatCode>
                <c:ptCount val="5"/>
                <c:pt idx="0">
                  <c:v>9.007949117917434</c:v>
                </c:pt>
                <c:pt idx="1">
                  <c:v>-17.381693582109403</c:v>
                </c:pt>
                <c:pt idx="2">
                  <c:v>3.9559325453344218</c:v>
                </c:pt>
                <c:pt idx="3">
                  <c:v>0</c:v>
                </c:pt>
                <c:pt idx="4">
                  <c:v>3.0222090420072787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6-40BA-B4FF-16CDCE26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4_FH</a:t>
                </a:r>
              </a:p>
              <a:p>
                <a:pPr algn="ctr">
                  <a:defRPr b="1"/>
                </a:pPr>
                <a:r>
                  <a:rPr lang="en-US" b="1" i="0" dirty="0"/>
                  <a:t>0.01 $/kg</a:t>
                </a:r>
              </a:p>
            </c:rich>
          </c:tx>
          <c:layout>
            <c:manualLayout>
              <c:xMode val="edge"/>
              <c:yMode val="edge"/>
              <c:x val="0.60017975210001318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9848077743065848"/>
          <c:y val="0.72669499999999998"/>
          <c:w val="0.14295253092524052"/>
          <c:h val="0.1303283333333333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96-4F76-82BA-39AFD03523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96-4F76-82BA-39AFD0352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Sensitivity'!$E$33:$E$37</c:f>
              <c:numCache>
                <c:formatCode>0.0%</c:formatCode>
                <c:ptCount val="5"/>
                <c:pt idx="0">
                  <c:v>-0.17507133182968554</c:v>
                </c:pt>
                <c:pt idx="1">
                  <c:v>0.28300595202271805</c:v>
                </c:pt>
                <c:pt idx="2">
                  <c:v>-0.15995703485556897</c:v>
                </c:pt>
                <c:pt idx="3">
                  <c:v>0</c:v>
                </c:pt>
                <c:pt idx="4">
                  <c:v>-6.2913540878065902E-2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6-4F76-82BA-39AFD03523C9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96-4F76-82BA-39AFD03523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96-4F76-82BA-39AFD0352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Sensitivity'!$F$33:$F$37</c:f>
              <c:numCache>
                <c:formatCode>0.0%</c:formatCode>
                <c:ptCount val="5"/>
                <c:pt idx="0">
                  <c:v>0.17507133182968537</c:v>
                </c:pt>
                <c:pt idx="1">
                  <c:v>-0.28300595202271772</c:v>
                </c:pt>
                <c:pt idx="2">
                  <c:v>0.15995703485556967</c:v>
                </c:pt>
                <c:pt idx="3">
                  <c:v>0</c:v>
                </c:pt>
                <c:pt idx="4">
                  <c:v>6.6224497573102364E-2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96-4F76-82BA-39AFD035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5_FH</a:t>
                </a:r>
              </a:p>
              <a:p>
                <a:pPr algn="ctr">
                  <a:defRPr b="1"/>
                </a:pPr>
                <a:r>
                  <a:rPr lang="en-US" b="1" i="0" dirty="0"/>
                  <a:t>0.634 $/kg</a:t>
                </a:r>
              </a:p>
            </c:rich>
          </c:tx>
          <c:layout>
            <c:manualLayout>
              <c:xMode val="edge"/>
              <c:yMode val="edge"/>
              <c:x val="0.59692411651791588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5B-4104-8902-61BB2A6DDA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Sensitivity'!$E$42:$E$46</c:f>
              <c:numCache>
                <c:formatCode>0.0%</c:formatCode>
                <c:ptCount val="5"/>
                <c:pt idx="0">
                  <c:v>-3.7864893033193181E-2</c:v>
                </c:pt>
                <c:pt idx="1">
                  <c:v>0.10209271173700657</c:v>
                </c:pt>
                <c:pt idx="2">
                  <c:v>0</c:v>
                </c:pt>
                <c:pt idx="3">
                  <c:v>-0.23400053309774579</c:v>
                </c:pt>
                <c:pt idx="4">
                  <c:v>-2.2573240005951116E-2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B-4104-8902-61BB2A6DDA51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5B-4104-8902-61BB2A6DDA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Sensitivity'!$F$42:$F$46</c:f>
              <c:numCache>
                <c:formatCode>0.0%</c:formatCode>
                <c:ptCount val="5"/>
                <c:pt idx="0">
                  <c:v>3.7864893033193181E-2</c:v>
                </c:pt>
                <c:pt idx="1">
                  <c:v>-0.10209271173700644</c:v>
                </c:pt>
                <c:pt idx="2">
                  <c:v>0</c:v>
                </c:pt>
                <c:pt idx="3">
                  <c:v>0.23400053309774541</c:v>
                </c:pt>
                <c:pt idx="4">
                  <c:v>2.3761203981325155E-2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5B-4104-8902-61BB2A6DD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5_efurnace</a:t>
                </a:r>
              </a:p>
              <a:p>
                <a:pPr algn="ctr">
                  <a:defRPr b="1"/>
                </a:pPr>
                <a:r>
                  <a:rPr lang="en-US" b="1" i="0" dirty="0"/>
                  <a:t>1.757 $/kg</a:t>
                </a:r>
              </a:p>
            </c:rich>
          </c:tx>
          <c:layout>
            <c:manualLayout>
              <c:xMode val="edge"/>
              <c:yMode val="edge"/>
              <c:x val="0.56436776069694183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662773575928539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DC-4076-89A8-1E0B9B6729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DC-4076-89A8-1E0B9B67293F}"/>
                </c:ext>
              </c:extLst>
            </c:dLbl>
            <c:dLbl>
              <c:idx val="4"/>
              <c:layout>
                <c:manualLayout>
                  <c:x val="-3.535312623047643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DC-4076-89A8-1E0B9B6729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Sensitivity'!$E$24:$E$28</c:f>
              <c:numCache>
                <c:formatCode>0.0%</c:formatCode>
                <c:ptCount val="5"/>
                <c:pt idx="0">
                  <c:v>-9.758599928889293E-2</c:v>
                </c:pt>
                <c:pt idx="1">
                  <c:v>0.27304507278519724</c:v>
                </c:pt>
                <c:pt idx="2">
                  <c:v>0</c:v>
                </c:pt>
                <c:pt idx="3">
                  <c:v>-0.34855149614689684</c:v>
                </c:pt>
                <c:pt idx="4">
                  <c:v>-4.2128444247125182E-2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DC-4076-89A8-1E0B9B67293F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918409158026107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DC-4076-89A8-1E0B9B6729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DC-4076-89A8-1E0B9B67293F}"/>
                </c:ext>
              </c:extLst>
            </c:dLbl>
            <c:dLbl>
              <c:idx val="4"/>
              <c:layout>
                <c:manualLayout>
                  <c:x val="-1.836486087413165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DC-4076-89A8-1E0B9B6729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Sensitivity'!$F$24:$F$28</c:f>
              <c:numCache>
                <c:formatCode>0.0%</c:formatCode>
                <c:ptCount val="5"/>
                <c:pt idx="0">
                  <c:v>9.7585999288892764E-2</c:v>
                </c:pt>
                <c:pt idx="1">
                  <c:v>-0.27304507278519707</c:v>
                </c:pt>
                <c:pt idx="2">
                  <c:v>0</c:v>
                </c:pt>
                <c:pt idx="3">
                  <c:v>0.34855149614689601</c:v>
                </c:pt>
                <c:pt idx="4">
                  <c:v>4.4345541752443506E-2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DC-4076-89A8-1E0B9B672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4_efurnace</a:t>
                </a:r>
              </a:p>
              <a:p>
                <a:pPr>
                  <a:defRPr b="1"/>
                </a:pPr>
                <a:r>
                  <a:rPr lang="en-US" b="1" i="0" dirty="0"/>
                  <a:t>0.726 $/kg</a:t>
                </a:r>
              </a:p>
            </c:rich>
          </c:tx>
          <c:layout>
            <c:manualLayout>
              <c:xMode val="edge"/>
              <c:yMode val="edge"/>
              <c:x val="0.55785648953274714"/>
              <c:y val="7.37709441228663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499204291901827"/>
          <c:y val="5.562040834175544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662773575928539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1C-431B-A02D-D2EE0B9977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1C-431B-A02D-D2EE0B99772B}"/>
                </c:ext>
              </c:extLst>
            </c:dLbl>
            <c:dLbl>
              <c:idx val="4"/>
              <c:layout>
                <c:manualLayout>
                  <c:x val="-3.535312623047643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1C-431B-A02D-D2EE0B9977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Sensitivity'!$E$24:$E$28</c:f>
              <c:numCache>
                <c:formatCode>0.0%</c:formatCode>
                <c:ptCount val="5"/>
                <c:pt idx="0">
                  <c:v>-9.758599928889293E-2</c:v>
                </c:pt>
                <c:pt idx="1">
                  <c:v>0.27304507278519724</c:v>
                </c:pt>
                <c:pt idx="2">
                  <c:v>0</c:v>
                </c:pt>
                <c:pt idx="3">
                  <c:v>-0.34855149614689684</c:v>
                </c:pt>
                <c:pt idx="4">
                  <c:v>-4.2128444247125182E-2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1C-431B-A02D-D2EE0B99772B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918409158026107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1C-431B-A02D-D2EE0B9977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1C-431B-A02D-D2EE0B99772B}"/>
                </c:ext>
              </c:extLst>
            </c:dLbl>
            <c:dLbl>
              <c:idx val="4"/>
              <c:layout>
                <c:manualLayout>
                  <c:x val="-1.836486087413165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1C-431B-A02D-D2EE0B9977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Sensitivity'!$F$24:$F$28</c:f>
              <c:numCache>
                <c:formatCode>0.0%</c:formatCode>
                <c:ptCount val="5"/>
                <c:pt idx="0">
                  <c:v>9.7585999288892764E-2</c:v>
                </c:pt>
                <c:pt idx="1">
                  <c:v>-0.27304507278519707</c:v>
                </c:pt>
                <c:pt idx="2">
                  <c:v>0</c:v>
                </c:pt>
                <c:pt idx="3">
                  <c:v>0.34855149614689601</c:v>
                </c:pt>
                <c:pt idx="4">
                  <c:v>4.4345541752443506E-2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1C-431B-A02D-D2EE0B997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4_efurnace</a:t>
                </a:r>
              </a:p>
              <a:p>
                <a:pPr>
                  <a:defRPr b="1"/>
                </a:pPr>
                <a:r>
                  <a:rPr lang="en-US" b="1" i="0" dirty="0"/>
                  <a:t>0.726 $/kg</a:t>
                </a:r>
              </a:p>
            </c:rich>
          </c:tx>
          <c:layout>
            <c:manualLayout>
              <c:xMode val="edge"/>
              <c:yMode val="edge"/>
              <c:x val="0.55785648953274714"/>
              <c:y val="7.37709441228663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499204291901827"/>
          <c:y val="5.562040834175544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66-4954-94D4-3A83A41ACA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66-4954-94D4-3A83A41AC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Sensitivity'!$E$33:$E$37</c:f>
              <c:numCache>
                <c:formatCode>0.0%</c:formatCode>
                <c:ptCount val="5"/>
                <c:pt idx="0">
                  <c:v>-0.17507133182968554</c:v>
                </c:pt>
                <c:pt idx="1">
                  <c:v>0.28300595202271805</c:v>
                </c:pt>
                <c:pt idx="2">
                  <c:v>-0.15995703485556897</c:v>
                </c:pt>
                <c:pt idx="3">
                  <c:v>0</c:v>
                </c:pt>
                <c:pt idx="4">
                  <c:v>-6.2913540878065902E-2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6-4954-94D4-3A83A41ACAE5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66-4954-94D4-3A83A41ACA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6-4954-94D4-3A83A41AC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Sensitivity'!$F$33:$F$37</c:f>
              <c:numCache>
                <c:formatCode>0.0%</c:formatCode>
                <c:ptCount val="5"/>
                <c:pt idx="0">
                  <c:v>0.17507133182968537</c:v>
                </c:pt>
                <c:pt idx="1">
                  <c:v>-0.28300595202271772</c:v>
                </c:pt>
                <c:pt idx="2">
                  <c:v>0.15995703485556967</c:v>
                </c:pt>
                <c:pt idx="3">
                  <c:v>0</c:v>
                </c:pt>
                <c:pt idx="4">
                  <c:v>6.6224497573102364E-2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66-4954-94D4-3A83A41AC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5_FH</a:t>
                </a:r>
              </a:p>
              <a:p>
                <a:pPr algn="ctr">
                  <a:defRPr b="1"/>
                </a:pPr>
                <a:r>
                  <a:rPr lang="en-US" b="1" i="0" dirty="0"/>
                  <a:t>0.634 $/kg</a:t>
                </a:r>
              </a:p>
            </c:rich>
          </c:tx>
          <c:layout>
            <c:manualLayout>
              <c:xMode val="edge"/>
              <c:yMode val="edge"/>
              <c:x val="0.59692411651791588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D5-4E90-9900-9668C87CB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Sensitivity'!$E$42:$E$46</c:f>
              <c:numCache>
                <c:formatCode>0.0%</c:formatCode>
                <c:ptCount val="5"/>
                <c:pt idx="0">
                  <c:v>-3.7864893033193181E-2</c:v>
                </c:pt>
                <c:pt idx="1">
                  <c:v>0.10209271173700657</c:v>
                </c:pt>
                <c:pt idx="2">
                  <c:v>0</c:v>
                </c:pt>
                <c:pt idx="3">
                  <c:v>-0.23400053309774579</c:v>
                </c:pt>
                <c:pt idx="4">
                  <c:v>-2.2573240005951116E-2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D5-4E90-9900-9668C87CBC1E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D5-4E90-9900-9668C87CB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Sensitivity'!$F$42:$F$46</c:f>
              <c:numCache>
                <c:formatCode>0.0%</c:formatCode>
                <c:ptCount val="5"/>
                <c:pt idx="0">
                  <c:v>3.7864893033193181E-2</c:v>
                </c:pt>
                <c:pt idx="1">
                  <c:v>-0.10209271173700644</c:v>
                </c:pt>
                <c:pt idx="2">
                  <c:v>0</c:v>
                </c:pt>
                <c:pt idx="3">
                  <c:v>0.23400053309774541</c:v>
                </c:pt>
                <c:pt idx="4">
                  <c:v>2.3761203981325155E-2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D5-4E90-9900-9668C87CB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5_efurnace</a:t>
                </a:r>
              </a:p>
              <a:p>
                <a:pPr algn="ctr">
                  <a:defRPr b="1"/>
                </a:pPr>
                <a:r>
                  <a:rPr lang="en-US" b="1" i="0" dirty="0"/>
                  <a:t>1.757 $/kg</a:t>
                </a:r>
              </a:p>
            </c:rich>
          </c:tx>
          <c:layout>
            <c:manualLayout>
              <c:xMode val="edge"/>
              <c:yMode val="edge"/>
              <c:x val="0.56436776069694183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79998377817641"/>
          <c:y val="0.20928919248616831"/>
          <c:w val="0.77490874276698074"/>
          <c:h val="0.611963286969768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'5. HEN_Worksheet_Case4'!$V$31</c:f>
              <c:strCache>
                <c:ptCount val="1"/>
                <c:pt idx="0">
                  <c:v>Catalytic conversion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F1-4213-8E6A-1D9E95999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 HEN_Worksheet_Case4'!$W$29:$Z$30</c:f>
              <c:multiLvlStrCache>
                <c:ptCount val="4"/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  <c:lvl>
                  <c:pt idx="0">
                    <c:v>Heating requirement </c:v>
                  </c:pt>
                  <c:pt idx="2">
                    <c:v>Cooling requirement </c:v>
                  </c:pt>
                </c:lvl>
              </c:multiLvlStrCache>
            </c:multiLvlStrRef>
          </c:cat>
          <c:val>
            <c:numRef>
              <c:f>'5. HEN_Worksheet_Case4'!$W$31:$Z$31</c:f>
              <c:numCache>
                <c:formatCode>General</c:formatCode>
                <c:ptCount val="4"/>
                <c:pt idx="0" formatCode="0.0">
                  <c:v>754.27520798573892</c:v>
                </c:pt>
                <c:pt idx="1">
                  <c:v>0</c:v>
                </c:pt>
                <c:pt idx="2" formatCode="0.0">
                  <c:v>1549.9703906590319</c:v>
                </c:pt>
                <c:pt idx="3" formatCode="0.0">
                  <c:v>664.4372318062417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1-4213-8E6A-1D9E959995DD}"/>
            </c:ext>
          </c:extLst>
        </c:ser>
        <c:ser>
          <c:idx val="1"/>
          <c:order val="1"/>
          <c:tx>
            <c:strRef>
              <c:f>'5. HEN_Worksheet_Case4'!$V$32</c:f>
              <c:strCache>
                <c:ptCount val="1"/>
                <c:pt idx="0">
                  <c:v>Compression and G/L separation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F1-4213-8E6A-1D9E959995DD}"/>
                </c:ext>
              </c:extLst>
            </c:dLbl>
            <c:dLbl>
              <c:idx val="3"/>
              <c:layout>
                <c:manualLayout>
                  <c:x val="-1.9462945310656236E-2"/>
                  <c:y val="4.306888179542240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F1-4213-8E6A-1D9E95999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 HEN_Worksheet_Case4'!$W$29:$Z$30</c:f>
              <c:multiLvlStrCache>
                <c:ptCount val="4"/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  <c:lvl>
                  <c:pt idx="0">
                    <c:v>Heating requirement </c:v>
                  </c:pt>
                  <c:pt idx="2">
                    <c:v>Cooling requirement </c:v>
                  </c:pt>
                </c:lvl>
              </c:multiLvlStrCache>
            </c:multiLvlStrRef>
          </c:cat>
          <c:val>
            <c:numRef>
              <c:f>'5. HEN_Worksheet_Case4'!$W$32:$Z$32</c:f>
              <c:numCache>
                <c:formatCode>0.0</c:formatCode>
                <c:ptCount val="4"/>
                <c:pt idx="0">
                  <c:v>20.121688031381886</c:v>
                </c:pt>
                <c:pt idx="1">
                  <c:v>5.2853942666530553</c:v>
                </c:pt>
                <c:pt idx="2">
                  <c:v>113.18510102160603</c:v>
                </c:pt>
                <c:pt idx="3">
                  <c:v>5.3389249558606764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F1-4213-8E6A-1D9E959995DD}"/>
            </c:ext>
          </c:extLst>
        </c:ser>
        <c:ser>
          <c:idx val="2"/>
          <c:order val="2"/>
          <c:tx>
            <c:strRef>
              <c:f>'5. HEN_Worksheet_Case4'!$V$33</c:f>
              <c:strCache>
                <c:ptCount val="1"/>
                <c:pt idx="0">
                  <c:v>Coldbox and cryogenic separation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F1-4213-8E6A-1D9E95999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 HEN_Worksheet_Case4'!$W$29:$Z$30</c:f>
              <c:multiLvlStrCache>
                <c:ptCount val="4"/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  <c:lvl>
                  <c:pt idx="0">
                    <c:v>Heating requirement </c:v>
                  </c:pt>
                  <c:pt idx="2">
                    <c:v>Cooling requirement </c:v>
                  </c:pt>
                </c:lvl>
              </c:multiLvlStrCache>
            </c:multiLvlStrRef>
          </c:cat>
          <c:val>
            <c:numRef>
              <c:f>'5. HEN_Worksheet_Case4'!$W$33:$Z$33</c:f>
              <c:numCache>
                <c:formatCode>General</c:formatCode>
                <c:ptCount val="4"/>
                <c:pt idx="0" formatCode="0.0">
                  <c:v>287.97380208458731</c:v>
                </c:pt>
                <c:pt idx="1">
                  <c:v>0</c:v>
                </c:pt>
                <c:pt idx="2" formatCode="0.0">
                  <c:v>197.36731099534015</c:v>
                </c:pt>
                <c:pt idx="3" formatCode="0.0">
                  <c:v>148.49763584354946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F1-4213-8E6A-1D9E95999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21477440"/>
        <c:axId val="1021476192"/>
      </c:barChart>
      <c:catAx>
        <c:axId val="1021477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21476192"/>
        <c:crosses val="autoZero"/>
        <c:auto val="1"/>
        <c:lblAlgn val="ctr"/>
        <c:lblOffset val="100"/>
        <c:noMultiLvlLbl val="0"/>
      </c:catAx>
      <c:valAx>
        <c:axId val="10214761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GB" sz="1200" b="1"/>
                  <a:t>Energy requirement (MW)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214774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4864001391986255"/>
          <c:w val="1"/>
          <c:h val="0.10760188114232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Garamond" panose="02020404030301010803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41454120560513"/>
          <c:y val="0.14676865114138862"/>
          <c:w val="0.69417041596800477"/>
          <c:h val="0.620319104848735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'Previous_Economic Analysis'!$D$107</c:f>
              <c:strCache>
                <c:ptCount val="1"/>
                <c:pt idx="0">
                  <c:v>-20%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4.20451104132827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8B-46E8-BEED-B168334399D3}"/>
                </c:ext>
              </c:extLst>
            </c:dLbl>
            <c:dLbl>
              <c:idx val="1"/>
              <c:layout>
                <c:manualLayout>
                  <c:x val="-6.1961215345890296E-2"/>
                  <c:y val="8.089419530384475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8B-46E8-BEED-B168334399D3}"/>
                </c:ext>
              </c:extLst>
            </c:dLbl>
            <c:dLbl>
              <c:idx val="2"/>
              <c:layout>
                <c:manualLayout>
                  <c:x val="3.770085557356457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8B-46E8-BEED-B168334399D3}"/>
                </c:ext>
              </c:extLst>
            </c:dLbl>
            <c:dLbl>
              <c:idx val="3"/>
              <c:layout>
                <c:manualLayout>
                  <c:x val="-0.11064502740337552"/>
                  <c:y val="-4.412461625481375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B-46E8-BEED-B168334399D3}"/>
                </c:ext>
              </c:extLst>
            </c:dLbl>
            <c:dLbl>
              <c:idx val="4"/>
              <c:layout>
                <c:manualLayout>
                  <c:x val="-0.16818044165313081"/>
                  <c:y val="4.044709765192237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8B-46E8-BEED-B168334399D3}"/>
                </c:ext>
              </c:extLst>
            </c:dLbl>
            <c:dLbl>
              <c:idx val="5"/>
              <c:layout>
                <c:manualLayout>
                  <c:x val="-5.753541424975535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8B-46E8-BEED-B168334399D3}"/>
                </c:ext>
              </c:extLst>
            </c:dLbl>
            <c:dLbl>
              <c:idx val="6"/>
              <c:layout>
                <c:manualLayout>
                  <c:x val="-5.3109613153620255E-2"/>
                  <c:y val="-2.022354882596118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8B-46E8-BEED-B1683343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Analysis'!$B$108:$B$114</c:f>
              <c:strCache>
                <c:ptCount val="7"/>
                <c:pt idx="0">
                  <c:v> Tax rate </c:v>
                </c:pt>
                <c:pt idx="1">
                  <c:v> Interest rate </c:v>
                </c:pt>
                <c:pt idx="2">
                  <c:v> Lifetime </c:v>
                </c:pt>
                <c:pt idx="3">
                  <c:v> Natural gas price </c:v>
                </c:pt>
                <c:pt idx="4">
                  <c:v> Electricity price </c:v>
                </c:pt>
                <c:pt idx="5">
                  <c:v> Cooling water price </c:v>
                </c:pt>
                <c:pt idx="6">
                  <c:v> Refrigeration price </c:v>
                </c:pt>
              </c:strCache>
            </c:strRef>
          </c:cat>
          <c:val>
            <c:numRef>
              <c:f>'Previous_Economic Analysis'!$H$108:$H$114</c:f>
              <c:numCache>
                <c:formatCode>0.00%</c:formatCode>
                <c:ptCount val="7"/>
                <c:pt idx="0">
                  <c:v>-7.0526162189727785E-3</c:v>
                </c:pt>
                <c:pt idx="1">
                  <c:v>-1.7048703391281304E-2</c:v>
                </c:pt>
                <c:pt idx="2">
                  <c:v>4.2272634806788867E-3</c:v>
                </c:pt>
                <c:pt idx="3">
                  <c:v>-4.5647388231714686E-2</c:v>
                </c:pt>
                <c:pt idx="4">
                  <c:v>-7.9617363454759796E-2</c:v>
                </c:pt>
                <c:pt idx="5">
                  <c:v>-1.4014280253364472E-2</c:v>
                </c:pt>
                <c:pt idx="6">
                  <c:v>-1.1868752680439E-2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8B-46E8-BEED-B168334399D3}"/>
            </c:ext>
          </c:extLst>
        </c:ser>
        <c:ser>
          <c:idx val="1"/>
          <c:order val="1"/>
          <c:tx>
            <c:strRef>
              <c:f>'Previous_Economic Analysis'!$E$107</c:f>
              <c:strCache>
                <c:ptCount val="1"/>
                <c:pt idx="0">
                  <c:v>20%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4.20451104132826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8B-46E8-BEED-B168334399D3}"/>
                </c:ext>
              </c:extLst>
            </c:dLbl>
            <c:dLbl>
              <c:idx val="1"/>
              <c:layout>
                <c:manualLayout>
                  <c:x val="5.7535414249755196E-2"/>
                  <c:y val="4.41246162548129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8B-46E8-BEED-B168334399D3}"/>
                </c:ext>
              </c:extLst>
            </c:dLbl>
            <c:dLbl>
              <c:idx val="2"/>
              <c:layout>
                <c:manualLayout>
                  <c:x val="-3.7719673940430111E-2"/>
                  <c:y val="3.474379233471442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8B-46E8-BEED-B168334399D3}"/>
                </c:ext>
              </c:extLst>
            </c:dLbl>
            <c:dLbl>
              <c:idx val="3"/>
              <c:layout>
                <c:manualLayout>
                  <c:x val="0.1084321268553080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8B-46E8-BEED-B168334399D3}"/>
                </c:ext>
              </c:extLst>
            </c:dLbl>
            <c:dLbl>
              <c:idx val="4"/>
              <c:layout>
                <c:manualLayout>
                  <c:x val="0.16818044165313081"/>
                  <c:y val="-4.044709765192237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8B-46E8-BEED-B168334399D3}"/>
                </c:ext>
              </c:extLst>
            </c:dLbl>
            <c:dLbl>
              <c:idx val="5"/>
              <c:layout>
                <c:manualLayout>
                  <c:x val="5.532251370168768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8B-46E8-BEED-B168334399D3}"/>
                </c:ext>
              </c:extLst>
            </c:dLbl>
            <c:dLbl>
              <c:idx val="6"/>
              <c:layout>
                <c:manualLayout>
                  <c:x val="4.647091150941772E-2"/>
                  <c:y val="2.022354882596118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8B-46E8-BEED-B1683343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Analysis'!$B$108:$B$114</c:f>
              <c:strCache>
                <c:ptCount val="7"/>
                <c:pt idx="0">
                  <c:v> Tax rate </c:v>
                </c:pt>
                <c:pt idx="1">
                  <c:v> Interest rate </c:v>
                </c:pt>
                <c:pt idx="2">
                  <c:v> Lifetime </c:v>
                </c:pt>
                <c:pt idx="3">
                  <c:v> Natural gas price </c:v>
                </c:pt>
                <c:pt idx="4">
                  <c:v> Electricity price </c:v>
                </c:pt>
                <c:pt idx="5">
                  <c:v> Cooling water price </c:v>
                </c:pt>
                <c:pt idx="6">
                  <c:v> Refrigeration price </c:v>
                </c:pt>
              </c:strCache>
            </c:strRef>
          </c:cat>
          <c:val>
            <c:numRef>
              <c:f>'Previous_Economic Analysis'!$I$108:$I$114</c:f>
              <c:numCache>
                <c:formatCode>0.00%</c:formatCode>
                <c:ptCount val="7"/>
                <c:pt idx="0">
                  <c:v>8.7549718580353392E-3</c:v>
                </c:pt>
                <c:pt idx="1">
                  <c:v>1.7945927070750465E-2</c:v>
                </c:pt>
                <c:pt idx="2">
                  <c:v>-2.0108660048933453E-3</c:v>
                </c:pt>
                <c:pt idx="3">
                  <c:v>4.564738823171452E-2</c:v>
                </c:pt>
                <c:pt idx="4">
                  <c:v>7.9617363454759629E-2</c:v>
                </c:pt>
                <c:pt idx="5">
                  <c:v>1.4014280253364472E-2</c:v>
                </c:pt>
                <c:pt idx="6">
                  <c:v>1.1868752680439172E-2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8B-46E8-BEED-B168334399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9"/>
        <c:overlap val="100"/>
        <c:axId val="653778376"/>
        <c:axId val="653775240"/>
      </c:barChart>
      <c:catAx>
        <c:axId val="65377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53775240"/>
        <c:crosses val="autoZero"/>
        <c:auto val="1"/>
        <c:lblAlgn val="ctr"/>
        <c:lblOffset val="100"/>
        <c:noMultiLvlLbl val="0"/>
      </c:catAx>
      <c:valAx>
        <c:axId val="653775240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Based Production</a:t>
                </a:r>
                <a:r>
                  <a:rPr lang="en-US" baseline="0"/>
                  <a:t> Cost</a:t>
                </a:r>
              </a:p>
              <a:p>
                <a:pPr>
                  <a:defRPr/>
                </a:pPr>
                <a:r>
                  <a:rPr lang="en-US" baseline="0"/>
                  <a:t>1,328 M$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237150619517142"/>
              <c:y val="0.86903508771929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53778376"/>
        <c:crosses val="autoZero"/>
        <c:crossBetween val="between"/>
        <c:majorUnit val="2.0000000000000004E-2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81156082535187046"/>
          <c:y val="5.197455422992521E-2"/>
          <c:w val="0.15529875384525507"/>
          <c:h val="7.50761281236320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sz="1100">
          <a:latin typeface="+mn-lt"/>
          <a:cs typeface="Arial" panose="020B0604020202020204" pitchFamily="34" charset="0"/>
        </a:defRPr>
      </a:pPr>
      <a:endParaRPr lang="ko-KR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Production costs and Revenue Breakdown </a:t>
            </a:r>
          </a:p>
        </c:rich>
      </c:tx>
      <c:layout>
        <c:manualLayout>
          <c:xMode val="edge"/>
          <c:yMode val="edge"/>
          <c:x val="0.27745891456358923"/>
          <c:y val="2.6533085740026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963892734178113"/>
          <c:y val="0.15139981631652177"/>
          <c:w val="0.79083623208982601"/>
          <c:h val="0.4814378391441151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'Previous_Economic Analysis'!$D$74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Analysis'!$E$74:$F$74</c:f>
              <c:numCache>
                <c:formatCode>0.0%</c:formatCode>
                <c:ptCount val="2"/>
                <c:pt idx="1">
                  <c:v>5.0844306743579738E-2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8-4A39-ABB8-AB6CF5D08A06}"/>
            </c:ext>
          </c:extLst>
        </c:ser>
        <c:ser>
          <c:idx val="1"/>
          <c:order val="1"/>
          <c:tx>
            <c:strRef>
              <c:f>'Previous_Economic Analysis'!$D$75</c:f>
              <c:strCache>
                <c:ptCount val="1"/>
                <c:pt idx="0">
                  <c:v>IDC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26965534376882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A8-4A39-ABB8-AB6CF5D08A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Analysis'!$E$75:$F$75</c:f>
              <c:numCache>
                <c:formatCode>0.0%</c:formatCode>
                <c:ptCount val="2"/>
                <c:pt idx="1">
                  <c:v>2.0337722697431889E-2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8-4A39-ABB8-AB6CF5D08A06}"/>
            </c:ext>
          </c:extLst>
        </c:ser>
        <c:ser>
          <c:idx val="2"/>
          <c:order val="2"/>
          <c:tx>
            <c:strRef>
              <c:f>'Previous_Economic Analysis'!$D$76</c:f>
              <c:strCache>
                <c:ptCount val="1"/>
                <c:pt idx="0">
                  <c:v>VOC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Analysis'!$E$76:$F$76</c:f>
              <c:numCache>
                <c:formatCode>0.0%</c:formatCode>
                <c:ptCount val="2"/>
                <c:pt idx="1">
                  <c:v>0.88092984264367535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A8-4A39-ABB8-AB6CF5D08A06}"/>
            </c:ext>
          </c:extLst>
        </c:ser>
        <c:ser>
          <c:idx val="3"/>
          <c:order val="3"/>
          <c:tx>
            <c:strRef>
              <c:f>'Previous_Economic Analysis'!$D$77</c:f>
              <c:strCache>
                <c:ptCount val="1"/>
                <c:pt idx="0">
                  <c:v>FOC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9.391379453140714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A8-4A39-ABB8-AB6CF5D08A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Analysis'!$E$77:$F$77</c:f>
              <c:numCache>
                <c:formatCode>0.0%</c:formatCode>
                <c:ptCount val="2"/>
                <c:pt idx="1">
                  <c:v>2.3942581440914951E-2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A8-4A39-ABB8-AB6CF5D08A06}"/>
            </c:ext>
          </c:extLst>
        </c:ser>
        <c:ser>
          <c:idx val="4"/>
          <c:order val="4"/>
          <c:tx>
            <c:strRef>
              <c:f>'Previous_Economic Analysis'!$D$78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31479312343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A8-4A39-ABB8-AB6CF5D08A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Analysis'!$E$78:$F$78</c:f>
              <c:numCache>
                <c:formatCode>0.0%</c:formatCode>
                <c:ptCount val="2"/>
                <c:pt idx="1">
                  <c:v>2.3945546474397988E-2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A8-4A39-ABB8-AB6CF5D08A06}"/>
            </c:ext>
          </c:extLst>
        </c:ser>
        <c:ser>
          <c:idx val="5"/>
          <c:order val="5"/>
          <c:tx>
            <c:strRef>
              <c:f>'Previous_Economic Analysis'!$D$79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Analysis'!$E$79:$F$79</c:f>
              <c:numCache>
                <c:formatCode>0.0%</c:formatCode>
                <c:ptCount val="2"/>
                <c:pt idx="0">
                  <c:v>0.32611549431627562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A8-4A39-ABB8-AB6CF5D08A06}"/>
            </c:ext>
          </c:extLst>
        </c:ser>
        <c:ser>
          <c:idx val="13"/>
          <c:order val="6"/>
          <c:tx>
            <c:strRef>
              <c:f>'Previous_Economic Analysis'!$D$83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Analysis'!$E$83:$F$83</c:f>
              <c:numCache>
                <c:formatCode>0.0%</c:formatCode>
                <c:ptCount val="2"/>
                <c:pt idx="0">
                  <c:v>0.37575582140826275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A8-4A39-ABB8-AB6CF5D08A06}"/>
            </c:ext>
          </c:extLst>
        </c:ser>
        <c:ser>
          <c:idx val="8"/>
          <c:order val="7"/>
          <c:tx>
            <c:strRef>
              <c:f>'Previous_Economic Analysis'!$D$82</c:f>
              <c:strCache>
                <c:ptCount val="1"/>
                <c:pt idx="0">
                  <c:v>Raw Acethylene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Analysis'!$E$82:$F$82</c:f>
              <c:numCache>
                <c:formatCode>0.0%</c:formatCode>
                <c:ptCount val="2"/>
                <c:pt idx="0">
                  <c:v>0.24655269430004786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A8-4A39-ABB8-AB6CF5D08A06}"/>
            </c:ext>
          </c:extLst>
        </c:ser>
        <c:ser>
          <c:idx val="7"/>
          <c:order val="8"/>
          <c:tx>
            <c:strRef>
              <c:f>'Previous_Economic Analysis'!$D$81</c:f>
              <c:strCache>
                <c:ptCount val="1"/>
                <c:pt idx="0">
                  <c:v>Benzene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Analysis'!$E$81:$F$81</c:f>
              <c:numCache>
                <c:formatCode>0.0%</c:formatCode>
                <c:ptCount val="2"/>
                <c:pt idx="0">
                  <c:v>3.9962299115360013E-2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FA8-4A39-ABB8-AB6CF5D08A06}"/>
            </c:ext>
          </c:extLst>
        </c:ser>
        <c:ser>
          <c:idx val="6"/>
          <c:order val="9"/>
          <c:tx>
            <c:strRef>
              <c:f>'Previous_Economic Analysis'!$D$80</c:f>
              <c:strCache>
                <c:ptCount val="1"/>
                <c:pt idx="0">
                  <c:v>Crude Naphthalene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Analysis'!$E$80:$F$80</c:f>
              <c:numCache>
                <c:formatCode>0.0%</c:formatCode>
                <c:ptCount val="2"/>
                <c:pt idx="0">
                  <c:v>1.161369086005384E-2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A8-4A39-ABB8-AB6CF5D08A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3776024"/>
        <c:axId val="653772496"/>
      </c:barChart>
      <c:catAx>
        <c:axId val="65377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3772496"/>
        <c:crosses val="autoZero"/>
        <c:auto val="1"/>
        <c:lblAlgn val="ctr"/>
        <c:lblOffset val="100"/>
        <c:noMultiLvlLbl val="0"/>
      </c:catAx>
      <c:valAx>
        <c:axId val="65377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3776024"/>
        <c:crosses val="autoZero"/>
        <c:crossBetween val="between"/>
        <c:majorUnit val="0.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32223624028733"/>
          <c:y val="0.74572991270642797"/>
          <c:w val="0.75415203701631728"/>
          <c:h val="0.2298159489120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Variable operating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F0-4555-99B4-E71BD85FDF9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F0-4555-99B4-E71BD85FDF9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F0-4555-99B4-E71BD85FDF9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F0-4555-99B4-E71BD85FDF94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F0-4555-99B4-E71BD85FDF94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F0-4555-99B4-E71BD85FDF94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F0-4555-99B4-E71BD85FDF94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F0-4555-99B4-E71BD85FD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'Previous_Economic Analysis'!$D$86:$D$93</c:f>
              <c:strCache>
                <c:ptCount val="8"/>
                <c:pt idx="0">
                  <c:v>Raw material_NG</c:v>
                </c:pt>
                <c:pt idx="1">
                  <c:v>Refrigeration</c:v>
                </c:pt>
                <c:pt idx="2">
                  <c:v>Electricity</c:v>
                </c:pt>
                <c:pt idx="3">
                  <c:v>Cooling water</c:v>
                </c:pt>
                <c:pt idx="4">
                  <c:v>High pressure steam</c:v>
                </c:pt>
                <c:pt idx="5">
                  <c:v>Low pressure steam</c:v>
                </c:pt>
                <c:pt idx="6">
                  <c:v>Fuel_NG</c:v>
                </c:pt>
                <c:pt idx="7">
                  <c:v>Other</c:v>
                </c:pt>
              </c:strCache>
            </c:strRef>
          </c:cat>
          <c:val>
            <c:numRef>
              <c:f>'Previous_Economic Analysis'!$F$86:$F$93</c:f>
              <c:numCache>
                <c:formatCode>0.0%</c:formatCode>
                <c:ptCount val="8"/>
                <c:pt idx="0">
                  <c:v>0.24435240404730246</c:v>
                </c:pt>
                <c:pt idx="1">
                  <c:v>6.9569660112559953E-2</c:v>
                </c:pt>
                <c:pt idx="2">
                  <c:v>0.46668365781473442</c:v>
                </c:pt>
                <c:pt idx="3">
                  <c:v>8.214584465607476E-2</c:v>
                </c:pt>
                <c:pt idx="4">
                  <c:v>4.6146158062746763E-4</c:v>
                </c:pt>
                <c:pt idx="5">
                  <c:v>9.7183943491971E-3</c:v>
                </c:pt>
                <c:pt idx="6">
                  <c:v>0.11551036410253267</c:v>
                </c:pt>
                <c:pt idx="7">
                  <c:v>1.1558213336971268E-2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0-4555-99B4-E71BD85FDF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3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3">
      <a:schemeClr val="dk1"/>
    </cs:effectRef>
    <cs:fontRef idx="minor">
      <a:schemeClr val="tx1"/>
    </cs:fontRef>
  </cs:dataPoint3D>
  <cs:dataPointLine>
    <cs:lnRef idx="1">
      <cs:styleClr val="auto"/>
    </cs:lnRef>
    <cs:lineWidthScale>7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3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3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5.png"/><Relationship Id="rId7" Type="http://schemas.openxmlformats.org/officeDocument/2006/relationships/chart" Target="../charts/chart5.xml"/><Relationship Id="rId2" Type="http://schemas.openxmlformats.org/officeDocument/2006/relationships/image" Target="../media/image4.gif"/><Relationship Id="rId1" Type="http://schemas.openxmlformats.org/officeDocument/2006/relationships/image" Target="../media/image3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image" Target="../media/image3.png"/><Relationship Id="rId4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94064</xdr:colOff>
      <xdr:row>1</xdr:row>
      <xdr:rowOff>116541</xdr:rowOff>
    </xdr:from>
    <xdr:to>
      <xdr:col>4</xdr:col>
      <xdr:colOff>1048871</xdr:colOff>
      <xdr:row>3</xdr:row>
      <xdr:rowOff>126973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7989" y="307041"/>
          <a:ext cx="2583582" cy="400957"/>
        </a:xfrm>
        <a:prstGeom prst="rect">
          <a:avLst/>
        </a:prstGeom>
      </xdr:spPr>
    </xdr:pic>
    <xdr:clientData/>
  </xdr:twoCellAnchor>
  <xdr:twoCellAnchor>
    <xdr:from>
      <xdr:col>16</xdr:col>
      <xdr:colOff>772884</xdr:colOff>
      <xdr:row>13</xdr:row>
      <xdr:rowOff>70756</xdr:rowOff>
    </xdr:from>
    <xdr:to>
      <xdr:col>23</xdr:col>
      <xdr:colOff>134927</xdr:colOff>
      <xdr:row>29</xdr:row>
      <xdr:rowOff>13606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1262263</xdr:colOff>
      <xdr:row>73</xdr:row>
      <xdr:rowOff>64034</xdr:rowOff>
    </xdr:from>
    <xdr:to>
      <xdr:col>13</xdr:col>
      <xdr:colOff>1241643</xdr:colOff>
      <xdr:row>99</xdr:row>
      <xdr:rowOff>33119</xdr:rowOff>
    </xdr:to>
    <xdr:pic>
      <xdr:nvPicPr>
        <xdr:cNvPr id="3" name="Picture 28" descr="Diagram&#10;&#10;Description automatically generated with medium confidence">
          <a:extLst>
            <a:ext uri="{FF2B5EF4-FFF2-40B4-BE49-F238E27FC236}">
              <a16:creationId xmlns:a16="http://schemas.microsoft.com/office/drawing/2014/main" id="{EF61C3D8-D07A-E98E-EAF1-27CBC43FE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2" t="-1649" r="10097" b="-2097"/>
        <a:stretch/>
      </xdr:blipFill>
      <xdr:spPr>
        <a:xfrm>
          <a:off x="14955851" y="14149828"/>
          <a:ext cx="7352851" cy="4955703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565966</xdr:colOff>
      <xdr:row>62</xdr:row>
      <xdr:rowOff>84719</xdr:rowOff>
    </xdr:from>
    <xdr:to>
      <xdr:col>26</xdr:col>
      <xdr:colOff>481153</xdr:colOff>
      <xdr:row>69</xdr:row>
      <xdr:rowOff>67110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1011" y="12242083"/>
          <a:ext cx="2980505" cy="13505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27</xdr:col>
      <xdr:colOff>26029</xdr:colOff>
      <xdr:row>62</xdr:row>
      <xdr:rowOff>30419</xdr:rowOff>
    </xdr:from>
    <xdr:to>
      <xdr:col>30</xdr:col>
      <xdr:colOff>1229470</xdr:colOff>
      <xdr:row>69</xdr:row>
      <xdr:rowOff>38584</xdr:rowOff>
    </xdr:to>
    <xdr:pic>
      <xdr:nvPicPr>
        <xdr:cNvPr id="6" name="Picture 5" descr="Ethylen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6394" y="12119842"/>
          <a:ext cx="3027845" cy="1356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1258660</xdr:colOff>
      <xdr:row>62</xdr:row>
      <xdr:rowOff>97371</xdr:rowOff>
    </xdr:from>
    <xdr:to>
      <xdr:col>35</xdr:col>
      <xdr:colOff>352404</xdr:colOff>
      <xdr:row>69</xdr:row>
      <xdr:rowOff>73881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38223" y="12098871"/>
          <a:ext cx="4665869" cy="1310010"/>
        </a:xfrm>
        <a:prstGeom prst="rect">
          <a:avLst/>
        </a:prstGeom>
      </xdr:spPr>
    </xdr:pic>
    <xdr:clientData/>
  </xdr:twoCellAnchor>
  <xdr:twoCellAnchor>
    <xdr:from>
      <xdr:col>9</xdr:col>
      <xdr:colOff>161685</xdr:colOff>
      <xdr:row>97</xdr:row>
      <xdr:rowOff>144877</xdr:rowOff>
    </xdr:from>
    <xdr:to>
      <xdr:col>12</xdr:col>
      <xdr:colOff>726566</xdr:colOff>
      <xdr:row>117</xdr:row>
      <xdr:rowOff>80460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726566</xdr:colOff>
      <xdr:row>97</xdr:row>
      <xdr:rowOff>144877</xdr:rowOff>
    </xdr:from>
    <xdr:to>
      <xdr:col>17</xdr:col>
      <xdr:colOff>271712</xdr:colOff>
      <xdr:row>117</xdr:row>
      <xdr:rowOff>80460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155864</xdr:colOff>
      <xdr:row>118</xdr:row>
      <xdr:rowOff>59377</xdr:rowOff>
    </xdr:from>
    <xdr:to>
      <xdr:col>14</xdr:col>
      <xdr:colOff>310091</xdr:colOff>
      <xdr:row>139</xdr:row>
      <xdr:rowOff>69423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27215</xdr:colOff>
      <xdr:row>16</xdr:row>
      <xdr:rowOff>122465</xdr:rowOff>
    </xdr:from>
    <xdr:to>
      <xdr:col>16</xdr:col>
      <xdr:colOff>920566</xdr:colOff>
      <xdr:row>37</xdr:row>
      <xdr:rowOff>148046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pSpPr/>
      </xdr:nvGrpSpPr>
      <xdr:grpSpPr>
        <a:xfrm>
          <a:off x="12382501" y="3551465"/>
          <a:ext cx="8186779" cy="4447902"/>
          <a:chOff x="927646" y="2437913"/>
          <a:chExt cx="7288708" cy="4148545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0000000-0008-0000-0700-00001D000000}"/>
              </a:ext>
            </a:extLst>
          </xdr:cNvPr>
          <xdr:cNvGraphicFramePr>
            <a:graphicFrameLocks/>
          </xdr:cNvGraphicFramePr>
        </xdr:nvGraphicFramePr>
        <xdr:xfrm>
          <a:off x="4904592" y="2454527"/>
          <a:ext cx="3311762" cy="41319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700-00001E000000}"/>
              </a:ext>
            </a:extLst>
          </xdr:cNvPr>
          <xdr:cNvCxnSpPr>
            <a:cxnSpLocks/>
          </xdr:cNvCxnSpPr>
        </xdr:nvCxnSpPr>
        <xdr:spPr>
          <a:xfrm>
            <a:off x="6414621" y="2616143"/>
            <a:ext cx="1442847" cy="113725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700-00001F000000}"/>
              </a:ext>
            </a:extLst>
          </xdr:cNvPr>
          <xdr:cNvGrpSpPr/>
        </xdr:nvGrpSpPr>
        <xdr:grpSpPr>
          <a:xfrm>
            <a:off x="927646" y="2437913"/>
            <a:ext cx="3336503" cy="3814236"/>
            <a:chOff x="915276" y="2437913"/>
            <a:chExt cx="3336503" cy="3814236"/>
          </a:xfrm>
        </xdr:grpSpPr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GraphicFramePr>
              <a:graphicFrameLocks/>
            </xdr:cNvGraphicFramePr>
          </xdr:nvGraphicFramePr>
          <xdr:xfrm>
            <a:off x="915276" y="2437913"/>
            <a:ext cx="3336503" cy="381423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CxnSpPr>
              <a:cxnSpLocks/>
            </xdr:cNvCxnSpPr>
          </xdr:nvCxnSpPr>
          <xdr:spPr>
            <a:xfrm>
              <a:off x="2428067" y="2644226"/>
              <a:ext cx="1442847" cy="1137251"/>
            </a:xfrm>
            <a:prstGeom prst="straightConnector1">
              <a:avLst/>
            </a:prstGeom>
            <a:ln>
              <a:solidFill>
                <a:srgbClr val="C00000"/>
              </a:solidFill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263756</xdr:colOff>
      <xdr:row>19</xdr:row>
      <xdr:rowOff>183777</xdr:rowOff>
    </xdr:from>
    <xdr:to>
      <xdr:col>13</xdr:col>
      <xdr:colOff>493716</xdr:colOff>
      <xdr:row>42</xdr:row>
      <xdr:rowOff>2802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756" y="3971365"/>
          <a:ext cx="10976401" cy="42005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11</xdr:col>
      <xdr:colOff>263285</xdr:colOff>
      <xdr:row>20</xdr:row>
      <xdr:rowOff>185964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263285</xdr:colOff>
      <xdr:row>38</xdr:row>
      <xdr:rowOff>185964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11</xdr:col>
      <xdr:colOff>263285</xdr:colOff>
      <xdr:row>48</xdr:row>
      <xdr:rowOff>4535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11</xdr:col>
      <xdr:colOff>263285</xdr:colOff>
      <xdr:row>29</xdr:row>
      <xdr:rowOff>185964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22</xdr:row>
      <xdr:rowOff>127000</xdr:rowOff>
    </xdr:from>
    <xdr:to>
      <xdr:col>24</xdr:col>
      <xdr:colOff>180426</xdr:colOff>
      <xdr:row>42</xdr:row>
      <xdr:rowOff>15317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pSpPr/>
      </xdr:nvGrpSpPr>
      <xdr:grpSpPr>
        <a:xfrm>
          <a:off x="11551227" y="4785591"/>
          <a:ext cx="9081972" cy="4113953"/>
          <a:chOff x="550652" y="3018741"/>
          <a:chExt cx="8072569" cy="3549546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GraphicFramePr>
            <a:graphicFrameLocks/>
          </xdr:cNvGraphicFramePr>
        </xdr:nvGraphicFramePr>
        <xdr:xfrm>
          <a:off x="550652" y="4921823"/>
          <a:ext cx="3900928" cy="1646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GraphicFramePr>
            <a:graphicFrameLocks/>
          </xdr:cNvGraphicFramePr>
        </xdr:nvGraphicFramePr>
        <xdr:xfrm>
          <a:off x="4722293" y="3018741"/>
          <a:ext cx="3900928" cy="1646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GraphicFramePr>
            <a:graphicFrameLocks/>
          </xdr:cNvGraphicFramePr>
        </xdr:nvGraphicFramePr>
        <xdr:xfrm>
          <a:off x="4722293" y="4921823"/>
          <a:ext cx="3900928" cy="1646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136525</xdr:colOff>
      <xdr:row>1</xdr:row>
      <xdr:rowOff>174625</xdr:rowOff>
    </xdr:from>
    <xdr:to>
      <xdr:col>31</xdr:col>
      <xdr:colOff>561072</xdr:colOff>
      <xdr:row>21</xdr:row>
      <xdr:rowOff>96070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3225" y="358775"/>
          <a:ext cx="7131417" cy="3606985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35</xdr:row>
      <xdr:rowOff>0</xdr:rowOff>
    </xdr:from>
    <xdr:to>
      <xdr:col>30</xdr:col>
      <xdr:colOff>199531</xdr:colOff>
      <xdr:row>47</xdr:row>
      <xdr:rowOff>35862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9386176" y="7451912"/>
          <a:ext cx="6250708" cy="2590803"/>
          <a:chOff x="0" y="0"/>
          <a:chExt cx="5476384" cy="2487945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aphicFramePr>
            <a:graphicFrameLocks/>
          </xdr:cNvGraphicFramePr>
        </xdr:nvGraphicFramePr>
        <xdr:xfrm>
          <a:off x="0" y="0"/>
          <a:ext cx="5276842" cy="24879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CxnSpPr>
            <a:cxnSpLocks/>
          </xdr:cNvCxnSpPr>
        </xdr:nvCxnSpPr>
        <xdr:spPr>
          <a:xfrm flipV="1">
            <a:off x="4789162" y="1579086"/>
            <a:ext cx="0" cy="281910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CxnSpPr>
            <a:cxnSpLocks/>
          </xdr:cNvCxnSpPr>
        </xdr:nvCxnSpPr>
        <xdr:spPr>
          <a:xfrm flipH="1">
            <a:off x="3267624" y="1860996"/>
            <a:ext cx="1521538" cy="0"/>
          </a:xfrm>
          <a:prstGeom prst="line">
            <a:avLst/>
          </a:prstGeom>
          <a:ln w="12700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9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 txBox="1"/>
        </xdr:nvSpPr>
        <xdr:spPr>
          <a:xfrm>
            <a:off x="4883273" y="1599888"/>
            <a:ext cx="593111" cy="362100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000" b="1">
                <a:latin typeface="Garamond" panose="02020404030301010803" pitchFamily="18" charset="0"/>
              </a:rPr>
              <a:t>Total:</a:t>
            </a:r>
          </a:p>
          <a:p>
            <a:r>
              <a:rPr lang="en-US" sz="1000" b="1">
                <a:latin typeface="Garamond" panose="02020404030301010803" pitchFamily="18" charset="0"/>
              </a:rPr>
              <a:t>1861 MW</a:t>
            </a:r>
          </a:p>
        </xdr:txBody>
      </xdr:sp>
      <xdr:sp macro="" textlink="">
        <xdr:nvSpPr>
          <xdr:cNvPr id="28" name="TextBox 42">
            <a:extLst>
              <a:ext uri="{FF2B5EF4-FFF2-40B4-BE49-F238E27FC236}">
                <a16:creationId xmlns:a16="http://schemas.microsoft.com/office/drawing/2014/main" id="{00000000-0008-0000-0B00-00001C000000}"/>
              </a:ext>
            </a:extLst>
          </xdr:cNvPr>
          <xdr:cNvSpPr txBox="1"/>
        </xdr:nvSpPr>
        <xdr:spPr>
          <a:xfrm>
            <a:off x="2701195" y="1784052"/>
            <a:ext cx="519373" cy="18105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>
                <a:latin typeface="Garamond" panose="02020404030301010803" pitchFamily="18" charset="0"/>
              </a:rPr>
              <a:t>818 MW</a:t>
            </a:r>
          </a:p>
        </xdr:txBody>
      </xdr: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00000000-0008-0000-0B00-00001D000000}"/>
              </a:ext>
            </a:extLst>
          </xdr:cNvPr>
          <xdr:cNvCxnSpPr>
            <a:cxnSpLocks/>
          </xdr:cNvCxnSpPr>
        </xdr:nvCxnSpPr>
        <xdr:spPr>
          <a:xfrm flipV="1">
            <a:off x="3154463" y="796136"/>
            <a:ext cx="0" cy="281910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CxnSpPr>
            <a:cxnSpLocks/>
          </xdr:cNvCxnSpPr>
        </xdr:nvCxnSpPr>
        <xdr:spPr>
          <a:xfrm flipH="1">
            <a:off x="1632925" y="1078046"/>
            <a:ext cx="1521538" cy="0"/>
          </a:xfrm>
          <a:prstGeom prst="line">
            <a:avLst/>
          </a:prstGeom>
          <a:ln w="12700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46">
            <a:extLst>
              <a:ext uri="{FF2B5EF4-FFF2-40B4-BE49-F238E27FC236}">
                <a16:creationId xmlns:a16="http://schemas.microsoft.com/office/drawing/2014/main" id="{00000000-0008-0000-0B00-00001F000000}"/>
              </a:ext>
            </a:extLst>
          </xdr:cNvPr>
          <xdr:cNvSpPr txBox="1"/>
        </xdr:nvSpPr>
        <xdr:spPr>
          <a:xfrm>
            <a:off x="3248574" y="816938"/>
            <a:ext cx="593111" cy="36210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000" b="1">
                <a:latin typeface="Garamond" panose="02020404030301010803" pitchFamily="18" charset="0"/>
              </a:rPr>
              <a:t>Total:</a:t>
            </a:r>
          </a:p>
          <a:p>
            <a:r>
              <a:rPr lang="en-US" sz="1000" b="1">
                <a:latin typeface="Garamond" panose="02020404030301010803" pitchFamily="18" charset="0"/>
              </a:rPr>
              <a:t>1062 MW</a:t>
            </a:r>
          </a:p>
        </xdr:txBody>
      </xdr:sp>
      <xdr:sp macro="" textlink="">
        <xdr:nvSpPr>
          <xdr:cNvPr id="32" name="TextBox 47">
            <a:extLst>
              <a:ext uri="{FF2B5EF4-FFF2-40B4-BE49-F238E27FC236}">
                <a16:creationId xmlns:a16="http://schemas.microsoft.com/office/drawing/2014/main" id="{00000000-0008-0000-0B00-000020000000}"/>
              </a:ext>
            </a:extLst>
          </xdr:cNvPr>
          <xdr:cNvSpPr txBox="1"/>
        </xdr:nvSpPr>
        <xdr:spPr>
          <a:xfrm>
            <a:off x="1066496" y="1001102"/>
            <a:ext cx="479298" cy="18105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>
                <a:latin typeface="Garamond" panose="02020404030301010803" pitchFamily="18" charset="0"/>
              </a:rPr>
              <a:t>5.3 MW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80132</xdr:colOff>
      <xdr:row>59</xdr:row>
      <xdr:rowOff>49630</xdr:rowOff>
    </xdr:from>
    <xdr:to>
      <xdr:col>27</xdr:col>
      <xdr:colOff>586819</xdr:colOff>
      <xdr:row>70</xdr:row>
      <xdr:rowOff>28420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9632" y="11806201"/>
          <a:ext cx="4824233" cy="21287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9</xdr:col>
      <xdr:colOff>155921</xdr:colOff>
      <xdr:row>99</xdr:row>
      <xdr:rowOff>40343</xdr:rowOff>
    </xdr:from>
    <xdr:to>
      <xdr:col>16</xdr:col>
      <xdr:colOff>488736</xdr:colOff>
      <xdr:row>114</xdr:row>
      <xdr:rowOff>29617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630732</xdr:colOff>
      <xdr:row>76</xdr:row>
      <xdr:rowOff>164886</xdr:rowOff>
    </xdr:from>
    <xdr:to>
      <xdr:col>16</xdr:col>
      <xdr:colOff>152451</xdr:colOff>
      <xdr:row>92</xdr:row>
      <xdr:rowOff>192101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13606</xdr:colOff>
      <xdr:row>76</xdr:row>
      <xdr:rowOff>118380</xdr:rowOff>
    </xdr:from>
    <xdr:to>
      <xdr:col>24</xdr:col>
      <xdr:colOff>367393</xdr:colOff>
      <xdr:row>92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302559</xdr:colOff>
      <xdr:row>1</xdr:row>
      <xdr:rowOff>168088</xdr:rowOff>
    </xdr:from>
    <xdr:to>
      <xdr:col>17</xdr:col>
      <xdr:colOff>463047</xdr:colOff>
      <xdr:row>29</xdr:row>
      <xdr:rowOff>56029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403412"/>
          <a:ext cx="13663576" cy="52219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4a6f56859bbe272/&#47928;&#49436;/2024/1.%20&#45436;&#47928;/2.%20C1%20refinery/2.%20Raw%20result/240814_C1%20Refinery_w_CCS.xlsx" TargetMode="External"/><Relationship Id="rId1" Type="http://schemas.openxmlformats.org/officeDocument/2006/relationships/externalLinkPath" Target="240814_C1%20Refinery_w_C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DB_Experiment_VER1"/>
      <sheetName val="1. DB_Experiment_VER2"/>
      <sheetName val="2. Aspen_stream info"/>
      <sheetName val="2. Aspen_Utility"/>
      <sheetName val="5. HEN_equip"/>
      <sheetName val="3. UPC &amp; MSP (fixed)"/>
      <sheetName val="Previous_Technical performance"/>
      <sheetName val="2. Eqipment cost"/>
      <sheetName val="3. CEF &amp; EEF"/>
      <sheetName val="4-1. UPC &amp; NCE(Grid)"/>
      <sheetName val="4-2. UPC &amp; NCE(RE)"/>
      <sheetName val="5. Sensitivity analysis"/>
      <sheetName val="5. Sensitivity"/>
      <sheetName val="5. HEN_Worksheet_Case4"/>
      <sheetName val="Previous_Economic Analysis"/>
      <sheetName val="Previous_Equipment cost"/>
      <sheetName val="DB_Aspen simulation_previous"/>
      <sheetName val="DB_APEA_EXECUTIVE SUMMARY"/>
      <sheetName val="DB_APEA_PROJSUM.ICS"/>
      <sheetName val="DB_APEA_CASHFLOW.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Case 1_FH</v>
          </cell>
          <cell r="E3" t="str">
            <v>Case 2_FH</v>
          </cell>
          <cell r="F3" t="str">
            <v>Case 3_FH</v>
          </cell>
          <cell r="G3" t="str">
            <v>Case 4_FH</v>
          </cell>
          <cell r="H3" t="str">
            <v>Case 1_EF</v>
          </cell>
          <cell r="I3" t="str">
            <v>Case 2_EF</v>
          </cell>
          <cell r="J3" t="str">
            <v>Case 3_EF</v>
          </cell>
          <cell r="K3" t="str">
            <v>Case 4_EF</v>
          </cell>
        </row>
        <row r="4">
          <cell r="B4" t="str">
            <v>Catalytic conversion</v>
          </cell>
          <cell r="D4">
            <v>365310556.98075145</v>
          </cell>
          <cell r="E4">
            <v>287851133.81864643</v>
          </cell>
          <cell r="F4">
            <v>249323826.1706017</v>
          </cell>
          <cell r="G4">
            <v>223837036.42283756</v>
          </cell>
          <cell r="H4">
            <v>463857142.85714287</v>
          </cell>
          <cell r="I4">
            <v>325023809.52380949</v>
          </cell>
          <cell r="J4">
            <v>262285714.28571427</v>
          </cell>
          <cell r="K4">
            <v>223293650.79365075</v>
          </cell>
        </row>
        <row r="5">
          <cell r="B5" t="str">
            <v>Compressor</v>
          </cell>
          <cell r="D5">
            <v>500284109.6547454</v>
          </cell>
          <cell r="E5">
            <v>420440311.36964452</v>
          </cell>
          <cell r="F5">
            <v>353122273.71876049</v>
          </cell>
          <cell r="G5">
            <v>296940127.135355</v>
          </cell>
          <cell r="H5">
            <v>500284109.6547454</v>
          </cell>
          <cell r="I5">
            <v>420440311.36964452</v>
          </cell>
          <cell r="J5">
            <v>353122273.71876049</v>
          </cell>
          <cell r="K5">
            <v>296940127.135355</v>
          </cell>
        </row>
        <row r="6">
          <cell r="B6" t="str">
            <v>Flash tank &amp; column</v>
          </cell>
          <cell r="D6">
            <v>23807200</v>
          </cell>
          <cell r="E6">
            <v>18646000</v>
          </cell>
          <cell r="F6">
            <v>19547800</v>
          </cell>
          <cell r="G6">
            <v>29837400</v>
          </cell>
          <cell r="H6">
            <v>23807200</v>
          </cell>
          <cell r="I6">
            <v>18646000</v>
          </cell>
          <cell r="J6">
            <v>19547800</v>
          </cell>
          <cell r="K6">
            <v>29837400</v>
          </cell>
        </row>
        <row r="7">
          <cell r="B7" t="str">
            <v>Heat exchanger, heater, cooler</v>
          </cell>
          <cell r="D7">
            <v>41871189.731092587</v>
          </cell>
          <cell r="E7">
            <v>29320948.23264204</v>
          </cell>
          <cell r="F7">
            <v>15517790.409398418</v>
          </cell>
          <cell r="G7">
            <v>33563300.763974085</v>
          </cell>
          <cell r="H7">
            <v>41871189.731092587</v>
          </cell>
          <cell r="I7">
            <v>29320948.23264204</v>
          </cell>
          <cell r="J7">
            <v>15517790.409398418</v>
          </cell>
          <cell r="K7">
            <v>134227314.57202512</v>
          </cell>
        </row>
        <row r="8">
          <cell r="B8" t="str">
            <v>H2PSA</v>
          </cell>
          <cell r="D8">
            <v>53705975.33563529</v>
          </cell>
          <cell r="E8">
            <v>58455132.60656698</v>
          </cell>
          <cell r="F8">
            <v>59466357.279898524</v>
          </cell>
          <cell r="G8">
            <v>60946714.352382183</v>
          </cell>
          <cell r="H8">
            <v>53705975.33563529</v>
          </cell>
          <cell r="I8">
            <v>58455132.60656698</v>
          </cell>
          <cell r="J8">
            <v>59466357.279898524</v>
          </cell>
          <cell r="K8">
            <v>60946714.352382183</v>
          </cell>
        </row>
        <row r="10">
          <cell r="B10" t="str">
            <v>Storage</v>
          </cell>
          <cell r="D10">
            <v>42895459.669885643</v>
          </cell>
          <cell r="E10">
            <v>39448461.164383493</v>
          </cell>
          <cell r="F10">
            <v>38466381.253117822</v>
          </cell>
          <cell r="G10">
            <v>36166499.455668882</v>
          </cell>
          <cell r="H10">
            <v>42895459.669885643</v>
          </cell>
          <cell r="I10">
            <v>39448461.164383493</v>
          </cell>
          <cell r="J10">
            <v>38466381.253117822</v>
          </cell>
          <cell r="K10">
            <v>36166499.455668882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oi.org/10.1016/j.joule.2018.01.00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zoomScale="85" zoomScaleNormal="85" workbookViewId="0">
      <selection activeCell="C40" sqref="C40"/>
    </sheetView>
  </sheetViews>
  <sheetFormatPr defaultColWidth="8.875" defaultRowHeight="15" x14ac:dyDescent="0.3"/>
  <cols>
    <col min="1" max="1" width="45.75" style="1" bestFit="1" customWidth="1"/>
    <col min="2" max="2" width="8.875" style="1" customWidth="1"/>
    <col min="3" max="3" width="27.125" style="1" bestFit="1" customWidth="1"/>
    <col min="4" max="4" width="11.25" style="1" bestFit="1" customWidth="1"/>
    <col min="5" max="7" width="10.75" style="1" bestFit="1" customWidth="1"/>
    <col min="8" max="8" width="24.5" style="31" bestFit="1" customWidth="1"/>
    <col min="9" max="9" width="11.875" style="1" bestFit="1" customWidth="1"/>
    <col min="10" max="12" width="8.875" style="1"/>
    <col min="13" max="13" width="21.5" style="1" bestFit="1" customWidth="1"/>
    <col min="14" max="14" width="9.5" style="1" customWidth="1"/>
    <col min="15" max="17" width="8.875" style="1"/>
    <col min="18" max="18" width="27.125" style="1" bestFit="1" customWidth="1"/>
    <col min="19" max="16384" width="8.875" style="1"/>
  </cols>
  <sheetData>
    <row r="1" spans="1:11" x14ac:dyDescent="0.3">
      <c r="C1" s="2" t="s">
        <v>0</v>
      </c>
      <c r="D1" s="2" t="s">
        <v>48</v>
      </c>
      <c r="E1" s="2" t="s">
        <v>49</v>
      </c>
      <c r="F1" s="2" t="s">
        <v>50</v>
      </c>
      <c r="G1" s="2" t="s">
        <v>51</v>
      </c>
      <c r="H1" s="31" t="s">
        <v>74</v>
      </c>
    </row>
    <row r="2" spans="1:11" x14ac:dyDescent="0.3">
      <c r="A2" s="1" t="s">
        <v>2</v>
      </c>
      <c r="C2" s="2" t="s">
        <v>3</v>
      </c>
      <c r="D2" s="2"/>
    </row>
    <row r="3" spans="1:11" ht="15.75" thickBot="1" x14ac:dyDescent="0.35">
      <c r="C3" s="2" t="s">
        <v>67</v>
      </c>
      <c r="D3" s="2"/>
    </row>
    <row r="4" spans="1:11" x14ac:dyDescent="0.3">
      <c r="A4" s="1" t="s">
        <v>4</v>
      </c>
      <c r="C4" s="2"/>
      <c r="D4" s="2"/>
      <c r="J4" s="3" t="s">
        <v>7</v>
      </c>
      <c r="K4" s="4" t="s">
        <v>8</v>
      </c>
    </row>
    <row r="5" spans="1:11" ht="18" thickBot="1" x14ac:dyDescent="0.35">
      <c r="A5" s="10" t="s">
        <v>19</v>
      </c>
      <c r="B5" s="8"/>
      <c r="C5" s="10">
        <v>500</v>
      </c>
      <c r="D5" s="2" t="s">
        <v>1</v>
      </c>
      <c r="J5" s="5">
        <v>1</v>
      </c>
      <c r="K5" s="6">
        <v>453.59199999999998</v>
      </c>
    </row>
    <row r="6" spans="1:11" x14ac:dyDescent="0.3">
      <c r="C6" s="2"/>
      <c r="D6" s="2"/>
    </row>
    <row r="7" spans="1:11" x14ac:dyDescent="0.3">
      <c r="A7" s="1" t="s">
        <v>5</v>
      </c>
      <c r="C7" s="2"/>
      <c r="D7" s="2"/>
      <c r="J7" s="1">
        <v>43.5</v>
      </c>
    </row>
    <row r="8" spans="1:11" ht="17.25" x14ac:dyDescent="0.3">
      <c r="A8" s="10" t="s">
        <v>18</v>
      </c>
      <c r="B8" s="8"/>
      <c r="C8" s="10">
        <v>2500</v>
      </c>
      <c r="D8" s="10">
        <v>1114</v>
      </c>
      <c r="E8" s="10">
        <v>1114</v>
      </c>
      <c r="F8" s="10">
        <v>1114</v>
      </c>
      <c r="G8" s="10">
        <v>1114</v>
      </c>
      <c r="H8" s="31">
        <v>1230</v>
      </c>
    </row>
    <row r="9" spans="1:11" x14ac:dyDescent="0.3">
      <c r="A9" s="2" t="s">
        <v>9</v>
      </c>
      <c r="C9" s="7">
        <v>43.5</v>
      </c>
      <c r="D9" s="2"/>
      <c r="E9" s="2"/>
      <c r="F9" s="2"/>
      <c r="G9" s="2"/>
    </row>
    <row r="10" spans="1:11" x14ac:dyDescent="0.3">
      <c r="A10" s="2" t="s">
        <v>10</v>
      </c>
      <c r="C10" s="7">
        <f>C9*K5</f>
        <v>19731.252</v>
      </c>
      <c r="D10" s="2"/>
      <c r="E10" s="2"/>
      <c r="F10" s="2"/>
      <c r="G10" s="2"/>
    </row>
    <row r="11" spans="1:11" x14ac:dyDescent="0.3">
      <c r="A11" s="2" t="s">
        <v>26</v>
      </c>
      <c r="C11" s="7"/>
      <c r="D11" s="2">
        <v>20</v>
      </c>
      <c r="E11" s="2">
        <v>20</v>
      </c>
      <c r="F11" s="2">
        <v>20</v>
      </c>
      <c r="G11" s="2">
        <v>20</v>
      </c>
      <c r="H11" s="31">
        <v>14.4</v>
      </c>
    </row>
    <row r="12" spans="1:11" s="8" customFormat="1" x14ac:dyDescent="0.3">
      <c r="A12" s="10" t="s">
        <v>6</v>
      </c>
      <c r="C12" s="9">
        <f>C10/16</f>
        <v>1233.20325</v>
      </c>
      <c r="D12" s="12">
        <f>D11*60/22400</f>
        <v>5.3571428571428568E-2</v>
      </c>
      <c r="E12" s="12">
        <f>E11*60/22400</f>
        <v>5.3571428571428568E-2</v>
      </c>
      <c r="F12" s="12">
        <f>F11*60/22400</f>
        <v>5.3571428571428568E-2</v>
      </c>
      <c r="G12" s="12">
        <f>G11*60/22400</f>
        <v>5.3571428571428568E-2</v>
      </c>
      <c r="H12" s="32">
        <f>H11*60/22400</f>
        <v>3.8571428571428569E-2</v>
      </c>
    </row>
    <row r="13" spans="1:11" s="8" customFormat="1" x14ac:dyDescent="0.3">
      <c r="A13" s="13" t="s">
        <v>27</v>
      </c>
      <c r="B13" s="14"/>
      <c r="C13" s="15"/>
      <c r="D13" s="16">
        <v>60</v>
      </c>
      <c r="E13" s="16">
        <v>60</v>
      </c>
      <c r="F13" s="16">
        <v>60</v>
      </c>
      <c r="G13" s="16">
        <v>60</v>
      </c>
      <c r="H13" s="31">
        <v>64</v>
      </c>
    </row>
    <row r="14" spans="1:11" s="8" customFormat="1" x14ac:dyDescent="0.3">
      <c r="A14" s="10" t="s">
        <v>28</v>
      </c>
      <c r="C14" s="9"/>
      <c r="D14" s="12">
        <f>D13*60/22400</f>
        <v>0.16071428571428573</v>
      </c>
      <c r="E14" s="12">
        <f>E13*60/22400</f>
        <v>0.16071428571428573</v>
      </c>
      <c r="F14" s="12">
        <f>F13*60/22400</f>
        <v>0.16071428571428573</v>
      </c>
      <c r="G14" s="12">
        <f>G13*60/22400</f>
        <v>0.16071428571428573</v>
      </c>
      <c r="H14" s="32">
        <f>H13*60/22400</f>
        <v>0.17142857142857143</v>
      </c>
      <c r="I14" s="8" t="s">
        <v>580</v>
      </c>
      <c r="J14" s="8">
        <f>H14/H12</f>
        <v>4.4444444444444446</v>
      </c>
    </row>
    <row r="15" spans="1:11" x14ac:dyDescent="0.3">
      <c r="A15" s="2" t="s">
        <v>11</v>
      </c>
      <c r="C15" s="2">
        <v>55.6</v>
      </c>
      <c r="D15" s="2"/>
    </row>
    <row r="16" spans="1:11" x14ac:dyDescent="0.3">
      <c r="A16" s="2" t="s">
        <v>14</v>
      </c>
      <c r="C16" s="7">
        <f>C15*K5</f>
        <v>25219.715199999999</v>
      </c>
      <c r="D16" s="2"/>
    </row>
    <row r="17" spans="1:8" s="8" customFormat="1" x14ac:dyDescent="0.3">
      <c r="A17" s="10" t="s">
        <v>15</v>
      </c>
      <c r="C17" s="9">
        <f>C16/16</f>
        <v>1576.2321999999999</v>
      </c>
      <c r="D17" s="10"/>
      <c r="H17" s="31"/>
    </row>
    <row r="18" spans="1:8" x14ac:dyDescent="0.3">
      <c r="A18" s="2" t="s">
        <v>12</v>
      </c>
      <c r="C18" s="2">
        <v>182.8</v>
      </c>
      <c r="D18" s="2"/>
    </row>
    <row r="19" spans="1:8" x14ac:dyDescent="0.3">
      <c r="A19" s="2" t="s">
        <v>16</v>
      </c>
      <c r="C19" s="7">
        <f>C18*K5</f>
        <v>82916.617599999998</v>
      </c>
      <c r="D19" s="2"/>
    </row>
    <row r="20" spans="1:8" s="8" customFormat="1" x14ac:dyDescent="0.3">
      <c r="A20" s="10" t="s">
        <v>17</v>
      </c>
      <c r="C20" s="9">
        <f>C19/32</f>
        <v>2591.1442999999999</v>
      </c>
      <c r="D20" s="10"/>
      <c r="H20" s="31"/>
    </row>
    <row r="21" spans="1:8" s="8" customFormat="1" x14ac:dyDescent="0.3">
      <c r="A21" s="10" t="s">
        <v>52</v>
      </c>
      <c r="C21" s="9">
        <v>1114</v>
      </c>
      <c r="D21" s="10"/>
      <c r="H21" s="31"/>
    </row>
    <row r="22" spans="1:8" x14ac:dyDescent="0.3">
      <c r="A22" s="10" t="s">
        <v>13</v>
      </c>
      <c r="B22" s="8"/>
      <c r="C22" s="10">
        <v>88.4</v>
      </c>
      <c r="D22" s="10"/>
      <c r="E22" s="8"/>
      <c r="F22" s="8"/>
      <c r="G22" s="8"/>
    </row>
    <row r="23" spans="1:8" x14ac:dyDescent="0.3">
      <c r="C23" s="2"/>
      <c r="D23" s="2"/>
    </row>
    <row r="27" spans="1:8" x14ac:dyDescent="0.3">
      <c r="A27" s="1" t="s">
        <v>34</v>
      </c>
      <c r="C27" s="1">
        <v>51.3</v>
      </c>
      <c r="D27" s="1">
        <v>5.8</v>
      </c>
      <c r="E27" s="1">
        <v>10</v>
      </c>
      <c r="F27" s="1">
        <v>20</v>
      </c>
      <c r="G27" s="1">
        <v>30</v>
      </c>
      <c r="H27" s="33">
        <v>30.353962661239862</v>
      </c>
    </row>
    <row r="28" spans="1:8" x14ac:dyDescent="0.3">
      <c r="A28" s="14"/>
      <c r="B28" s="14"/>
      <c r="D28" s="15"/>
      <c r="H28" s="33"/>
    </row>
    <row r="29" spans="1:8" x14ac:dyDescent="0.3">
      <c r="A29" s="1" t="s">
        <v>29</v>
      </c>
      <c r="B29" s="14"/>
      <c r="D29" s="15"/>
      <c r="H29" s="33"/>
    </row>
    <row r="30" spans="1:8" x14ac:dyDescent="0.3">
      <c r="A30" s="14" t="s">
        <v>30</v>
      </c>
      <c r="B30" s="14"/>
      <c r="D30" s="15">
        <v>5.5</v>
      </c>
      <c r="E30" s="15">
        <v>5.5</v>
      </c>
      <c r="F30" s="15">
        <v>5.5</v>
      </c>
      <c r="G30" s="15">
        <v>5.5</v>
      </c>
      <c r="H30" s="33">
        <v>1.9832375743992701</v>
      </c>
    </row>
    <row r="31" spans="1:8" x14ac:dyDescent="0.3">
      <c r="A31" s="14" t="s">
        <v>23</v>
      </c>
      <c r="B31" s="14"/>
      <c r="D31" s="15">
        <v>60.3</v>
      </c>
      <c r="E31" s="15">
        <v>60.3</v>
      </c>
      <c r="F31" s="15">
        <v>60.3</v>
      </c>
      <c r="G31" s="15">
        <v>60.3</v>
      </c>
      <c r="H31" s="33">
        <v>35.180965793283235</v>
      </c>
    </row>
    <row r="32" spans="1:8" x14ac:dyDescent="0.3">
      <c r="A32" s="14" t="s">
        <v>24</v>
      </c>
      <c r="B32" s="14"/>
      <c r="D32" s="15">
        <v>2.9</v>
      </c>
      <c r="E32" s="15">
        <v>2.9</v>
      </c>
      <c r="F32" s="15">
        <v>2.9</v>
      </c>
      <c r="G32" s="15">
        <v>2.9</v>
      </c>
      <c r="H32" s="33">
        <v>41.411785543457484</v>
      </c>
    </row>
    <row r="33" spans="1:19" x14ac:dyDescent="0.3">
      <c r="A33" s="14" t="s">
        <v>31</v>
      </c>
      <c r="B33" s="14"/>
      <c r="D33" s="17">
        <v>1.3</v>
      </c>
      <c r="E33" s="17">
        <v>1.3</v>
      </c>
      <c r="F33" s="17">
        <v>1.3</v>
      </c>
      <c r="G33" s="17">
        <v>1.3</v>
      </c>
      <c r="H33" s="33">
        <v>0</v>
      </c>
    </row>
    <row r="34" spans="1:19" x14ac:dyDescent="0.3">
      <c r="A34" s="14" t="s">
        <v>32</v>
      </c>
      <c r="B34" s="14"/>
      <c r="D34" s="17">
        <v>4.3</v>
      </c>
      <c r="E34" s="17">
        <v>4.3</v>
      </c>
      <c r="F34" s="17">
        <v>4.3</v>
      </c>
      <c r="G34" s="17">
        <v>4.3</v>
      </c>
      <c r="H34" s="33">
        <v>7.478987838505045</v>
      </c>
    </row>
    <row r="35" spans="1:19" x14ac:dyDescent="0.3">
      <c r="A35" s="14" t="s">
        <v>33</v>
      </c>
      <c r="B35" s="14"/>
      <c r="D35" s="17">
        <v>25.6</v>
      </c>
      <c r="E35" s="17">
        <v>25.6</v>
      </c>
      <c r="F35" s="17">
        <v>25.6</v>
      </c>
      <c r="G35" s="17">
        <v>25.6</v>
      </c>
      <c r="H35" s="33">
        <v>2.6768978031685888</v>
      </c>
    </row>
    <row r="36" spans="1:19" x14ac:dyDescent="0.3">
      <c r="A36" s="14" t="s">
        <v>70</v>
      </c>
      <c r="B36" s="14"/>
      <c r="D36" s="17"/>
      <c r="E36" s="17"/>
      <c r="F36" s="17"/>
      <c r="G36" s="17"/>
      <c r="H36" s="33">
        <v>11.268125447186399</v>
      </c>
    </row>
    <row r="37" spans="1:19" ht="15.75" thickBot="1" x14ac:dyDescent="0.35">
      <c r="A37" s="14" t="s">
        <v>25</v>
      </c>
      <c r="B37" s="14"/>
      <c r="D37" s="17">
        <f>SUM(D30:D35)</f>
        <v>99.9</v>
      </c>
      <c r="E37" s="17">
        <f>SUM(E30:E35)</f>
        <v>99.9</v>
      </c>
      <c r="F37" s="17">
        <f>SUM(F30:F35)</f>
        <v>99.9</v>
      </c>
      <c r="G37" s="17">
        <f>SUM(G30:G35)</f>
        <v>99.9</v>
      </c>
      <c r="H37" s="33">
        <f>SUM(H30:H36)</f>
        <v>100.00000000000003</v>
      </c>
    </row>
    <row r="38" spans="1:19" x14ac:dyDescent="0.3">
      <c r="H38" s="33"/>
      <c r="L38" s="14">
        <v>-253</v>
      </c>
      <c r="M38" s="21" t="s">
        <v>38</v>
      </c>
      <c r="N38" s="22" t="s">
        <v>44</v>
      </c>
      <c r="O38" s="29" t="s">
        <v>45</v>
      </c>
      <c r="P38" s="22" t="s">
        <v>46</v>
      </c>
      <c r="Q38" s="22" t="s">
        <v>47</v>
      </c>
      <c r="R38" s="39" t="s">
        <v>71</v>
      </c>
    </row>
    <row r="39" spans="1:19" x14ac:dyDescent="0.3">
      <c r="A39" s="1" t="s">
        <v>60</v>
      </c>
      <c r="B39" s="14"/>
      <c r="D39" s="17"/>
      <c r="H39" s="33"/>
      <c r="L39" s="14">
        <v>-164</v>
      </c>
      <c r="M39" s="23" t="s">
        <v>35</v>
      </c>
      <c r="N39" s="24">
        <f>D12*D27/100*2</f>
        <v>6.214285714285713E-3</v>
      </c>
      <c r="O39" s="27">
        <f>E12*E27/100*2</f>
        <v>1.0714285714285714E-2</v>
      </c>
      <c r="P39" s="24">
        <f>F12*F27/100*2</f>
        <v>2.1428571428571429E-2</v>
      </c>
      <c r="Q39" s="24">
        <f>G12*G27/100*2</f>
        <v>3.214285714285714E-2</v>
      </c>
      <c r="R39" s="37">
        <f>H12*H27/100*2</f>
        <v>2.3415914052956465E-2</v>
      </c>
      <c r="S39" s="1">
        <f t="shared" ref="S39:S45" si="0">Q39/$Q$48*100</f>
        <v>48.056121861354569</v>
      </c>
    </row>
    <row r="40" spans="1:19" x14ac:dyDescent="0.3">
      <c r="A40" s="1" t="s">
        <v>61</v>
      </c>
      <c r="B40" s="14"/>
      <c r="C40" s="30">
        <f>$C$42*C54/$C$56</f>
        <v>1544.3951821524893</v>
      </c>
      <c r="D40" s="20">
        <f>D14+N47</f>
        <v>0.16432820357142858</v>
      </c>
      <c r="E40" s="20">
        <f>E14+O47</f>
        <v>0.16882820357142858</v>
      </c>
      <c r="F40" s="20">
        <f>F14+P47</f>
        <v>0.17954248928571431</v>
      </c>
      <c r="G40" s="20">
        <f>G14+Q47</f>
        <v>0.19025677500000002</v>
      </c>
      <c r="H40" s="34">
        <f>H14+R47</f>
        <v>0.18738979883402324</v>
      </c>
      <c r="I40" s="1">
        <f>H40*10000</f>
        <v>1873.8979883402324</v>
      </c>
      <c r="L40" s="14">
        <v>-89</v>
      </c>
      <c r="M40" s="23" t="s">
        <v>30</v>
      </c>
      <c r="N40" s="24">
        <f>D43*3</f>
        <v>2.5633928571428514E-4</v>
      </c>
      <c r="O40" s="27">
        <f>E43*3</f>
        <v>2.5633928571428514E-4</v>
      </c>
      <c r="P40" s="24">
        <f>F43*3</f>
        <v>2.5633928571428514E-4</v>
      </c>
      <c r="Q40" s="24">
        <f>G43*3</f>
        <v>2.5633928571428514E-4</v>
      </c>
      <c r="R40" s="37">
        <f>H43*3</f>
        <v>3.4829490441545363E-4</v>
      </c>
      <c r="S40" s="1">
        <f t="shared" si="0"/>
        <v>0.38324757184430186</v>
      </c>
    </row>
    <row r="41" spans="1:19" x14ac:dyDescent="0.3">
      <c r="A41" s="1" t="s">
        <v>62</v>
      </c>
      <c r="B41" s="14"/>
      <c r="C41" s="30">
        <f>$C$42*C55/$C$56</f>
        <v>859.26122882365144</v>
      </c>
      <c r="D41" s="17"/>
      <c r="H41" s="34"/>
      <c r="I41" s="1">
        <f t="shared" ref="I41:I49" si="1">H41*10000</f>
        <v>0</v>
      </c>
      <c r="L41" s="14">
        <v>-104</v>
      </c>
      <c r="M41" s="23" t="s">
        <v>23</v>
      </c>
      <c r="N41" s="24">
        <f>D44*2</f>
        <v>1.8736071428571385E-3</v>
      </c>
      <c r="O41" s="27">
        <f>E44*2</f>
        <v>1.8736071428571385E-3</v>
      </c>
      <c r="P41" s="24">
        <f>F44*2</f>
        <v>1.8736071428571385E-3</v>
      </c>
      <c r="Q41" s="24">
        <f>G44*2</f>
        <v>1.8736071428571385E-3</v>
      </c>
      <c r="R41" s="37">
        <f>H44*2</f>
        <v>4.118972356577608E-3</v>
      </c>
      <c r="S41" s="1">
        <f t="shared" si="0"/>
        <v>2.8011913432983517</v>
      </c>
    </row>
    <row r="42" spans="1:19" x14ac:dyDescent="0.3">
      <c r="A42" s="14" t="s">
        <v>35</v>
      </c>
      <c r="B42" s="14"/>
      <c r="C42" s="30">
        <f>C12*C27/100</f>
        <v>632.63326725000002</v>
      </c>
      <c r="D42" s="19">
        <f>D12*(100-D27)/100</f>
        <v>5.0464285714285718E-2</v>
      </c>
      <c r="E42" s="19">
        <f>E12*(100-E27)/100</f>
        <v>4.821428571428571E-2</v>
      </c>
      <c r="F42" s="19">
        <f>F12*(100-F27)/100</f>
        <v>4.2857142857142858E-2</v>
      </c>
      <c r="G42" s="19">
        <f>G12*(100-G27)/100</f>
        <v>3.7499999999999999E-2</v>
      </c>
      <c r="H42" s="34">
        <f>H12*(100-H27)/100</f>
        <v>2.6863471544950338E-2</v>
      </c>
      <c r="I42" s="1">
        <f t="shared" si="1"/>
        <v>268.6347154495034</v>
      </c>
      <c r="L42" s="14">
        <v>-84</v>
      </c>
      <c r="M42" s="23" t="s">
        <v>24</v>
      </c>
      <c r="N42" s="24">
        <f>D45*1</f>
        <v>4.5053571428571321E-5</v>
      </c>
      <c r="O42" s="27">
        <f>E45*1</f>
        <v>4.5053571428571321E-5</v>
      </c>
      <c r="P42" s="24">
        <f>F45*1</f>
        <v>4.5053571428571321E-5</v>
      </c>
      <c r="Q42" s="24">
        <f>G45*1</f>
        <v>4.5053571428571321E-5</v>
      </c>
      <c r="R42" s="37">
        <f>H45*1</f>
        <v>2.4242370276626631E-3</v>
      </c>
      <c r="S42" s="1">
        <f t="shared" si="0"/>
        <v>6.7358664142331826E-2</v>
      </c>
    </row>
    <row r="43" spans="1:19" x14ac:dyDescent="0.3">
      <c r="A43" s="14" t="s">
        <v>30</v>
      </c>
      <c r="B43" s="14"/>
      <c r="C43" s="30"/>
      <c r="D43" s="19">
        <f t="shared" ref="D43:G45" si="2">($D$12-$D$42)*D30/100/2</f>
        <v>8.5446428571428381E-5</v>
      </c>
      <c r="E43" s="19">
        <f t="shared" si="2"/>
        <v>8.5446428571428381E-5</v>
      </c>
      <c r="F43" s="19">
        <f t="shared" si="2"/>
        <v>8.5446428571428381E-5</v>
      </c>
      <c r="G43" s="19">
        <f t="shared" si="2"/>
        <v>8.5446428571428381E-5</v>
      </c>
      <c r="H43" s="34">
        <f>($H$12-$H$42)*H30/100/2</f>
        <v>1.1609830147181789E-4</v>
      </c>
      <c r="I43" s="1">
        <f t="shared" si="1"/>
        <v>1.1609830147181788</v>
      </c>
      <c r="L43" s="14">
        <v>-84</v>
      </c>
      <c r="M43" s="23" t="s">
        <v>31</v>
      </c>
      <c r="N43" s="24">
        <f t="shared" ref="N43:Q44" si="3">D46*3</f>
        <v>4.0392857142857053E-5</v>
      </c>
      <c r="O43" s="27">
        <f t="shared" si="3"/>
        <v>4.0392857142857053E-5</v>
      </c>
      <c r="P43" s="24">
        <f t="shared" si="3"/>
        <v>4.0392857142857053E-5</v>
      </c>
      <c r="Q43" s="24">
        <f t="shared" si="3"/>
        <v>4.0392857142857053E-5</v>
      </c>
      <c r="R43" s="37">
        <f>H46*3</f>
        <v>0</v>
      </c>
      <c r="S43" s="1">
        <f t="shared" si="0"/>
        <v>6.0390526472435452E-2</v>
      </c>
    </row>
    <row r="44" spans="1:19" x14ac:dyDescent="0.3">
      <c r="A44" s="14" t="s">
        <v>23</v>
      </c>
      <c r="B44" s="14"/>
      <c r="C44" s="30">
        <f>$C$42*C58/$C$56</f>
        <v>21.000274431535267</v>
      </c>
      <c r="D44" s="19">
        <f t="shared" si="2"/>
        <v>9.3680357142856923E-4</v>
      </c>
      <c r="E44" s="19">
        <f t="shared" si="2"/>
        <v>9.3680357142856923E-4</v>
      </c>
      <c r="F44" s="19">
        <f t="shared" si="2"/>
        <v>9.3680357142856923E-4</v>
      </c>
      <c r="G44" s="19">
        <f t="shared" si="2"/>
        <v>9.3680357142856923E-4</v>
      </c>
      <c r="H44" s="34">
        <f>($H$12-$H$42)*H31/100/2</f>
        <v>2.059486178288804E-3</v>
      </c>
      <c r="I44" s="1">
        <f t="shared" si="1"/>
        <v>20.594861782888039</v>
      </c>
      <c r="L44" s="40" t="s">
        <v>75</v>
      </c>
      <c r="M44" s="23" t="s">
        <v>32</v>
      </c>
      <c r="N44" s="24">
        <f t="shared" si="3"/>
        <v>6.6803571428571267E-5</v>
      </c>
      <c r="O44" s="27">
        <f t="shared" si="3"/>
        <v>6.6803571428571267E-5</v>
      </c>
      <c r="P44" s="24">
        <f t="shared" si="3"/>
        <v>6.6803571428571267E-5</v>
      </c>
      <c r="Q44" s="24">
        <f t="shared" si="3"/>
        <v>6.6803571428571267E-5</v>
      </c>
      <c r="R44" s="37">
        <f>H47*3</f>
        <v>4.3781834107385197E-4</v>
      </c>
      <c r="S44" s="1">
        <f t="shared" si="0"/>
        <v>9.9876639935181685E-2</v>
      </c>
    </row>
    <row r="45" spans="1:19" x14ac:dyDescent="0.3">
      <c r="A45" s="14" t="s">
        <v>24</v>
      </c>
      <c r="B45" s="14"/>
      <c r="C45" s="30">
        <f>$C$42*C59/$C$56</f>
        <v>200.37761853423234</v>
      </c>
      <c r="D45" s="19">
        <f t="shared" si="2"/>
        <v>4.5053571428571321E-5</v>
      </c>
      <c r="E45" s="19">
        <f t="shared" si="2"/>
        <v>4.5053571428571321E-5</v>
      </c>
      <c r="F45" s="19">
        <f t="shared" si="2"/>
        <v>4.5053571428571321E-5</v>
      </c>
      <c r="G45" s="19">
        <f t="shared" si="2"/>
        <v>4.5053571428571321E-5</v>
      </c>
      <c r="H45" s="34">
        <f>($H$12-$H$42)*H32/100/2</f>
        <v>2.4242370276626631E-3</v>
      </c>
      <c r="I45" s="1">
        <f t="shared" si="1"/>
        <v>24.24237027662663</v>
      </c>
      <c r="L45" s="14">
        <v>80</v>
      </c>
      <c r="M45" s="23" t="s">
        <v>33</v>
      </c>
      <c r="N45" s="24">
        <f>D48*4</f>
        <v>3.1817142857142793E-4</v>
      </c>
      <c r="O45" s="27">
        <f>E48*4</f>
        <v>3.1817142857142793E-4</v>
      </c>
      <c r="P45" s="24">
        <f>F48*4</f>
        <v>3.1817142857142793E-4</v>
      </c>
      <c r="Q45" s="24">
        <f>G48*4</f>
        <v>3.1817142857142793E-4</v>
      </c>
      <c r="R45" s="37">
        <f>H48*4</f>
        <v>1.2536401777508727E-4</v>
      </c>
      <c r="S45" s="1">
        <f t="shared" si="0"/>
        <v>0.47569153159826083</v>
      </c>
    </row>
    <row r="46" spans="1:19" x14ac:dyDescent="0.3">
      <c r="A46" s="14" t="s">
        <v>31</v>
      </c>
      <c r="B46" s="14"/>
      <c r="C46" s="30"/>
      <c r="D46" s="19">
        <f>($D$12-$D$42)*D33/100/3</f>
        <v>1.3464285714285684E-5</v>
      </c>
      <c r="E46" s="19">
        <f>($D$12-$D$42)*E33/100/3</f>
        <v>1.3464285714285684E-5</v>
      </c>
      <c r="F46" s="19">
        <f>($D$12-$D$42)*F33/100/3</f>
        <v>1.3464285714285684E-5</v>
      </c>
      <c r="G46" s="19">
        <f>($D$12-$D$42)*G33/100/3</f>
        <v>1.3464285714285684E-5</v>
      </c>
      <c r="H46" s="34">
        <f>($H$12-$H$42)*H33/100/3</f>
        <v>0</v>
      </c>
      <c r="I46" s="1">
        <f t="shared" si="1"/>
        <v>0</v>
      </c>
      <c r="L46" s="41">
        <v>218</v>
      </c>
      <c r="M46" s="23" t="s">
        <v>36</v>
      </c>
      <c r="N46" s="24">
        <f>SUM(N40:N45)</f>
        <v>2.6003678571428512E-3</v>
      </c>
      <c r="O46" s="27">
        <f>SUM(O40:O45)</f>
        <v>2.6003678571428512E-3</v>
      </c>
      <c r="P46" s="24">
        <f>SUM(P40:P45)</f>
        <v>2.6003678571428512E-3</v>
      </c>
      <c r="Q46" s="24">
        <f>SUM(Q40:Q45)</f>
        <v>2.6003678571428512E-3</v>
      </c>
      <c r="R46" s="37">
        <f>SUM(R40:R45)</f>
        <v>7.4546866475046639E-3</v>
      </c>
      <c r="S46" s="1">
        <f>(Q46+Q47)/Q48*100</f>
        <v>48.056121861354569</v>
      </c>
    </row>
    <row r="47" spans="1:19" ht="15.75" thickBot="1" x14ac:dyDescent="0.35">
      <c r="A47" s="14" t="s">
        <v>32</v>
      </c>
      <c r="B47" s="14"/>
      <c r="C47" s="30"/>
      <c r="D47" s="19">
        <f>($D$12-$D$42)*D34/100/6</f>
        <v>2.226785714285709E-5</v>
      </c>
      <c r="E47" s="19">
        <f>($D$12-$D$42)*E34/100/6</f>
        <v>2.226785714285709E-5</v>
      </c>
      <c r="F47" s="19">
        <f>($D$12-$D$42)*F34/100/6</f>
        <v>2.226785714285709E-5</v>
      </c>
      <c r="G47" s="19">
        <f>($D$12-$D$42)*G34/100/6</f>
        <v>2.226785714285709E-5</v>
      </c>
      <c r="H47" s="34">
        <f>($H$12-$H$42)*H34/100/6</f>
        <v>1.4593944702461731E-4</v>
      </c>
      <c r="I47" s="1">
        <f t="shared" si="1"/>
        <v>1.4593944702461732</v>
      </c>
      <c r="M47" s="25" t="s">
        <v>39</v>
      </c>
      <c r="N47" s="26">
        <f>N39-N46</f>
        <v>3.6139178571428618E-3</v>
      </c>
      <c r="O47" s="28">
        <f>O39-O46</f>
        <v>8.1139178571428636E-3</v>
      </c>
      <c r="P47" s="26">
        <f>P39-P46</f>
        <v>1.8828203571428576E-2</v>
      </c>
      <c r="Q47" s="26">
        <f>Q39-Q46</f>
        <v>2.9542489285714287E-2</v>
      </c>
      <c r="R47" s="38">
        <f>R39-R46</f>
        <v>1.5961227405451802E-2</v>
      </c>
      <c r="S47" s="1">
        <f>SUM(S39:S46)</f>
        <v>100</v>
      </c>
    </row>
    <row r="48" spans="1:19" x14ac:dyDescent="0.3">
      <c r="A48" s="14" t="s">
        <v>33</v>
      </c>
      <c r="B48" s="14"/>
      <c r="C48" s="30"/>
      <c r="D48" s="19">
        <f>($D$12-$D$42)*D35/100/10</f>
        <v>7.9542857142856981E-5</v>
      </c>
      <c r="E48" s="19">
        <f>($D$12-$D$42)*E35/100/10</f>
        <v>7.9542857142856981E-5</v>
      </c>
      <c r="F48" s="19">
        <f>($D$12-$D$42)*F35/100/10</f>
        <v>7.9542857142856981E-5</v>
      </c>
      <c r="G48" s="19">
        <f>($D$12-$D$42)*G35/100/10</f>
        <v>7.9542857142856981E-5</v>
      </c>
      <c r="H48" s="34">
        <f>($H$12-$H$42)*H35/100/10</f>
        <v>3.1341004443771818E-5</v>
      </c>
      <c r="I48" s="1">
        <f t="shared" si="1"/>
        <v>0.31341004443771819</v>
      </c>
      <c r="Q48" s="1">
        <f>SUM(Q39:Q47)</f>
        <v>6.6886082142857128E-2</v>
      </c>
    </row>
    <row r="49" spans="1:9" x14ac:dyDescent="0.3">
      <c r="A49" s="14" t="s">
        <v>63</v>
      </c>
      <c r="B49" s="14"/>
      <c r="C49" s="30">
        <f>$C$42*C63/$C$56</f>
        <v>1053.9512730326762</v>
      </c>
      <c r="H49" s="34"/>
      <c r="I49" s="1">
        <f t="shared" si="1"/>
        <v>0</v>
      </c>
    </row>
    <row r="50" spans="1:9" x14ac:dyDescent="0.3">
      <c r="A50" s="14" t="s">
        <v>72</v>
      </c>
      <c r="B50" s="14"/>
      <c r="C50" s="30"/>
      <c r="H50" s="34">
        <f>($H$12-$H$42)*H36/100/2</f>
        <v>6.5963364252312083E-4</v>
      </c>
      <c r="I50" s="1">
        <f>H50*10000</f>
        <v>6.5963364252312084</v>
      </c>
    </row>
    <row r="51" spans="1:9" x14ac:dyDescent="0.3">
      <c r="A51" s="14" t="s">
        <v>43</v>
      </c>
      <c r="B51" s="14"/>
      <c r="C51" s="18">
        <f>SUM(C40:C49)</f>
        <v>4311.6188442245839</v>
      </c>
      <c r="D51" s="20">
        <f>SUM(D42:D49)</f>
        <v>5.1646864285714293E-2</v>
      </c>
      <c r="E51" s="20">
        <f>SUM(E42:E49)</f>
        <v>4.9396864285714284E-2</v>
      </c>
      <c r="F51" s="20">
        <f>SUM(F42:F49)</f>
        <v>4.4039721428571432E-2</v>
      </c>
      <c r="G51" s="20">
        <f>SUM(G42:G49)</f>
        <v>3.8682578571428573E-2</v>
      </c>
      <c r="H51" s="35">
        <f>SUM(H42:H50)</f>
        <v>3.2300207146365126E-2</v>
      </c>
    </row>
    <row r="52" spans="1:9" x14ac:dyDescent="0.3">
      <c r="D52" s="20"/>
      <c r="E52" s="20"/>
      <c r="F52" s="20"/>
      <c r="G52" s="20"/>
    </row>
    <row r="53" spans="1:9" x14ac:dyDescent="0.3">
      <c r="A53" s="1" t="s">
        <v>58</v>
      </c>
    </row>
    <row r="54" spans="1:9" x14ac:dyDescent="0.3">
      <c r="A54" s="10" t="s">
        <v>20</v>
      </c>
      <c r="B54" s="8"/>
      <c r="C54" s="9">
        <v>35.299999999999997</v>
      </c>
      <c r="D54" s="9">
        <f>D40/D51*100</f>
        <v>318.17653567959661</v>
      </c>
      <c r="E54" s="9">
        <f>E40/E51*100</f>
        <v>341.77919188334835</v>
      </c>
      <c r="F54" s="9">
        <f>F40/F51*100</f>
        <v>407.68307214866581</v>
      </c>
      <c r="G54" s="9">
        <f>G40/G51*100</f>
        <v>491.84098378727521</v>
      </c>
      <c r="H54" s="36">
        <f>H40/H51*100</f>
        <v>580.15045533573607</v>
      </c>
    </row>
    <row r="55" spans="1:9" x14ac:dyDescent="0.3">
      <c r="A55" s="10" t="s">
        <v>21</v>
      </c>
      <c r="B55" s="8"/>
      <c r="C55" s="9">
        <v>19.64</v>
      </c>
      <c r="D55" s="9"/>
      <c r="E55" s="9"/>
      <c r="F55" s="9"/>
      <c r="G55" s="9"/>
      <c r="H55" s="36"/>
    </row>
    <row r="56" spans="1:9" x14ac:dyDescent="0.3">
      <c r="A56" s="10" t="s">
        <v>22</v>
      </c>
      <c r="B56" s="8"/>
      <c r="C56" s="9">
        <v>14.46</v>
      </c>
      <c r="D56" s="9">
        <f>D42/D51*100</f>
        <v>97.710260656123353</v>
      </c>
      <c r="E56" s="9">
        <f>E42/E51*100</f>
        <v>97.605964288363595</v>
      </c>
      <c r="F56" s="9">
        <f>F42/F51*100</f>
        <v>97.314745568164838</v>
      </c>
      <c r="G56" s="9">
        <f>G42/G51*100</f>
        <v>96.942865199007073</v>
      </c>
      <c r="H56" s="36">
        <f>H42/H51*100</f>
        <v>83.16810918029482</v>
      </c>
    </row>
    <row r="57" spans="1:9" x14ac:dyDescent="0.3">
      <c r="A57" s="10" t="s">
        <v>37</v>
      </c>
      <c r="B57" s="8"/>
      <c r="C57" s="9"/>
      <c r="D57" s="12">
        <f>D43/D51*100</f>
        <v>0.16544359421073926</v>
      </c>
      <c r="E57" s="12">
        <f>E43/E51*100</f>
        <v>0.17297945893326622</v>
      </c>
      <c r="F57" s="12">
        <f>F43/F51*100</f>
        <v>0.19402127397652819</v>
      </c>
      <c r="G57" s="12">
        <f>G43/G51*100</f>
        <v>0.22089124284630848</v>
      </c>
      <c r="H57" s="32">
        <f>H43/H51*100</f>
        <v>0.35943516072739151</v>
      </c>
    </row>
    <row r="58" spans="1:9" x14ac:dyDescent="0.3">
      <c r="A58" s="10" t="s">
        <v>23</v>
      </c>
      <c r="B58" s="8"/>
      <c r="C58" s="9">
        <v>0.48</v>
      </c>
      <c r="D58" s="12">
        <f>D44/D51*100</f>
        <v>1.8138634056195595</v>
      </c>
      <c r="E58" s="12">
        <f>E44/E51*100</f>
        <v>1.8964838861229003</v>
      </c>
      <c r="F58" s="12">
        <f>F44/F51*100</f>
        <v>2.1271786946881184</v>
      </c>
      <c r="G58" s="12">
        <f>G44/G51*100</f>
        <v>2.4217712624786185</v>
      </c>
      <c r="H58" s="32">
        <f>H44/H51*100</f>
        <v>6.3760773079765407</v>
      </c>
    </row>
    <row r="59" spans="1:9" x14ac:dyDescent="0.3">
      <c r="A59" s="10" t="s">
        <v>24</v>
      </c>
      <c r="B59" s="8"/>
      <c r="C59" s="9">
        <v>4.58</v>
      </c>
      <c r="D59" s="12">
        <f>D45/D51*100</f>
        <v>8.7233895129298883E-2</v>
      </c>
      <c r="E59" s="12">
        <f>E45/E51*100</f>
        <v>9.1207351073903986E-2</v>
      </c>
      <c r="F59" s="12">
        <f>F45/F51*100</f>
        <v>0.10230212627853304</v>
      </c>
      <c r="G59" s="12">
        <f>G45/G51*100</f>
        <v>0.11646992804623538</v>
      </c>
      <c r="H59" s="32">
        <f>H45/H51*100</f>
        <v>7.5053296614398715</v>
      </c>
    </row>
    <row r="60" spans="1:9" x14ac:dyDescent="0.3">
      <c r="A60" s="10" t="s">
        <v>40</v>
      </c>
      <c r="B60" s="8"/>
      <c r="C60" s="9"/>
      <c r="D60" s="12">
        <f>D46/D51*100</f>
        <v>2.6069899693813459E-2</v>
      </c>
      <c r="E60" s="12">
        <f>E46/E51*100</f>
        <v>2.7257369286454065E-2</v>
      </c>
      <c r="F60" s="12">
        <f>F46/F51*100</f>
        <v>3.0573049232665052E-2</v>
      </c>
      <c r="G60" s="12">
        <f>G46/G51*100</f>
        <v>3.4807104933357702E-2</v>
      </c>
      <c r="H60" s="32">
        <f>H46/H51*100</f>
        <v>0</v>
      </c>
    </row>
    <row r="61" spans="1:9" x14ac:dyDescent="0.3">
      <c r="A61" s="10" t="s">
        <v>41</v>
      </c>
      <c r="B61" s="8"/>
      <c r="C61" s="9"/>
      <c r="D61" s="12">
        <f>D47/D51*100</f>
        <v>4.311560333976841E-2</v>
      </c>
      <c r="E61" s="12">
        <f>E47/E51*100</f>
        <v>4.5079495358366341E-2</v>
      </c>
      <c r="F61" s="12">
        <f>F47/F51*100</f>
        <v>5.0563119884792194E-2</v>
      </c>
      <c r="G61" s="12">
        <f>G47/G51*100</f>
        <v>5.7565596620553119E-2</v>
      </c>
      <c r="H61" s="32">
        <f>H47/H51*100</f>
        <v>0.45182201576388487</v>
      </c>
    </row>
    <row r="62" spans="1:9" x14ac:dyDescent="0.3">
      <c r="A62" s="10" t="s">
        <v>42</v>
      </c>
      <c r="B62" s="8"/>
      <c r="C62" s="9"/>
      <c r="D62" s="12">
        <f>D48/D51*100</f>
        <v>0.15401294588345188</v>
      </c>
      <c r="E62" s="12">
        <f>E48/E51*100</f>
        <v>0.16102815086151329</v>
      </c>
      <c r="F62" s="12">
        <f>F48/F51*100</f>
        <v>0.18061616777451359</v>
      </c>
      <c r="G62" s="12">
        <f>G48/G51*100</f>
        <v>0.20562966606783631</v>
      </c>
      <c r="H62" s="32">
        <f>H48/H51*100</f>
        <v>9.7030351235065523E-2</v>
      </c>
    </row>
    <row r="63" spans="1:9" x14ac:dyDescent="0.3">
      <c r="A63" s="10" t="s">
        <v>53</v>
      </c>
      <c r="B63" s="8"/>
      <c r="C63" s="11">
        <v>24.09</v>
      </c>
      <c r="D63" s="8"/>
      <c r="E63" s="8"/>
      <c r="F63" s="8"/>
      <c r="G63" s="8"/>
    </row>
    <row r="64" spans="1:9" x14ac:dyDescent="0.3">
      <c r="A64" s="10" t="s">
        <v>73</v>
      </c>
      <c r="B64" s="8"/>
      <c r="C64" s="11"/>
      <c r="D64" s="8"/>
      <c r="E64" s="8"/>
      <c r="F64" s="8"/>
      <c r="G64" s="8"/>
      <c r="H64" s="32">
        <f>H50/H51*100</f>
        <v>2.0421963225624453</v>
      </c>
    </row>
    <row r="65" spans="1:8" x14ac:dyDescent="0.3">
      <c r="A65" s="10" t="s">
        <v>25</v>
      </c>
      <c r="B65" s="8"/>
      <c r="C65" s="11">
        <f>SUM(C54:C63)</f>
        <v>98.550000000000011</v>
      </c>
      <c r="D65" s="11">
        <f>SUM(D54:D63)</f>
        <v>418.17653567959655</v>
      </c>
      <c r="E65" s="11">
        <f>SUM(E54:E63)</f>
        <v>441.77919188334835</v>
      </c>
      <c r="F65" s="11">
        <f>SUM(F54:F63)</f>
        <v>507.68307214866576</v>
      </c>
      <c r="G65" s="11">
        <f>SUM(G54:G63)</f>
        <v>591.84098378727515</v>
      </c>
      <c r="H65" s="33">
        <f>SUM(H54:H64)</f>
        <v>680.15045533573596</v>
      </c>
    </row>
    <row r="67" spans="1:8" x14ac:dyDescent="0.3">
      <c r="A67" s="1" t="s">
        <v>54</v>
      </c>
      <c r="D67" s="8"/>
      <c r="E67" s="8"/>
      <c r="F67" s="8"/>
      <c r="G67" s="8"/>
    </row>
    <row r="68" spans="1:8" ht="17.25" x14ac:dyDescent="0.3">
      <c r="A68" s="10" t="s">
        <v>19</v>
      </c>
      <c r="B68" s="8"/>
      <c r="C68" s="8">
        <v>300</v>
      </c>
      <c r="D68" s="8"/>
      <c r="E68" s="8"/>
      <c r="F68" s="8"/>
      <c r="G68" s="8"/>
    </row>
    <row r="69" spans="1:8" x14ac:dyDescent="0.3">
      <c r="A69" s="10" t="s">
        <v>68</v>
      </c>
      <c r="B69" s="14"/>
      <c r="D69" s="8"/>
      <c r="E69" s="8"/>
      <c r="F69" s="8"/>
      <c r="G69" s="8"/>
    </row>
    <row r="70" spans="1:8" x14ac:dyDescent="0.3">
      <c r="D70" s="8"/>
      <c r="E70" s="8"/>
      <c r="F70" s="8"/>
      <c r="G70" s="8"/>
    </row>
    <row r="71" spans="1:8" x14ac:dyDescent="0.3">
      <c r="A71" s="1" t="s">
        <v>64</v>
      </c>
      <c r="D71" s="8"/>
      <c r="E71" s="8"/>
      <c r="F71" s="8"/>
      <c r="G71" s="8"/>
    </row>
    <row r="72" spans="1:8" x14ac:dyDescent="0.3">
      <c r="A72" s="10" t="s">
        <v>20</v>
      </c>
      <c r="B72" s="8"/>
      <c r="C72" s="9">
        <f>C40</f>
        <v>1544.3951821524893</v>
      </c>
      <c r="D72" s="8"/>
      <c r="E72" s="8"/>
      <c r="F72" s="8"/>
      <c r="G72" s="8"/>
    </row>
    <row r="73" spans="1:8" x14ac:dyDescent="0.3">
      <c r="A73" s="10" t="s">
        <v>21</v>
      </c>
      <c r="B73" s="8"/>
      <c r="C73" s="9">
        <f>C41</f>
        <v>859.26122882365144</v>
      </c>
      <c r="D73" s="8"/>
      <c r="E73" s="8"/>
      <c r="F73" s="8"/>
      <c r="G73" s="8"/>
    </row>
    <row r="74" spans="1:8" x14ac:dyDescent="0.3">
      <c r="A74" s="10" t="s">
        <v>22</v>
      </c>
      <c r="B74" s="8"/>
      <c r="C74" s="9">
        <f>C42</f>
        <v>632.63326725000002</v>
      </c>
      <c r="D74" s="8"/>
      <c r="E74" s="8"/>
      <c r="F74" s="8"/>
      <c r="G74" s="8"/>
    </row>
    <row r="75" spans="1:8" x14ac:dyDescent="0.3">
      <c r="A75" s="10" t="s">
        <v>37</v>
      </c>
      <c r="B75" s="8"/>
      <c r="C75" s="9"/>
      <c r="D75" s="8"/>
      <c r="E75" s="8"/>
      <c r="F75" s="8"/>
      <c r="G75" s="8"/>
    </row>
    <row r="76" spans="1:8" x14ac:dyDescent="0.3">
      <c r="A76" s="10" t="s">
        <v>23</v>
      </c>
      <c r="B76" s="8"/>
      <c r="C76" s="9">
        <f>C44</f>
        <v>21.000274431535267</v>
      </c>
      <c r="D76" s="8"/>
      <c r="E76" s="8"/>
      <c r="F76" s="8"/>
      <c r="G76" s="8"/>
    </row>
    <row r="77" spans="1:8" x14ac:dyDescent="0.3">
      <c r="A77" s="10" t="s">
        <v>24</v>
      </c>
      <c r="B77" s="8"/>
      <c r="C77" s="9"/>
      <c r="D77" s="8"/>
      <c r="E77" s="8"/>
      <c r="F77" s="8"/>
      <c r="G77" s="8"/>
    </row>
    <row r="78" spans="1:8" x14ac:dyDescent="0.3">
      <c r="A78" s="10" t="s">
        <v>40</v>
      </c>
      <c r="B78" s="8"/>
      <c r="C78" s="9"/>
      <c r="D78" s="8"/>
      <c r="E78" s="8"/>
      <c r="F78" s="8"/>
      <c r="G78" s="8"/>
    </row>
    <row r="79" spans="1:8" x14ac:dyDescent="0.3">
      <c r="A79" s="10" t="s">
        <v>41</v>
      </c>
      <c r="B79" s="8"/>
      <c r="C79" s="9"/>
      <c r="D79" s="8"/>
      <c r="E79" s="8"/>
      <c r="F79" s="8"/>
      <c r="G79" s="8"/>
    </row>
    <row r="80" spans="1:8" x14ac:dyDescent="0.3">
      <c r="A80" s="10" t="s">
        <v>42</v>
      </c>
      <c r="B80" s="8"/>
      <c r="C80" s="9"/>
      <c r="D80" s="8"/>
      <c r="E80" s="8"/>
      <c r="F80" s="8"/>
      <c r="G80" s="8"/>
    </row>
    <row r="81" spans="1:7" x14ac:dyDescent="0.3">
      <c r="A81" s="10" t="s">
        <v>53</v>
      </c>
      <c r="B81" s="8"/>
      <c r="C81" s="9">
        <f>C49</f>
        <v>1053.9512730326762</v>
      </c>
      <c r="D81" s="8"/>
      <c r="E81" s="8"/>
      <c r="F81" s="8"/>
      <c r="G81" s="8"/>
    </row>
    <row r="82" spans="1:7" x14ac:dyDescent="0.3">
      <c r="A82" s="10" t="s">
        <v>25</v>
      </c>
      <c r="B82" s="8"/>
      <c r="C82" s="9">
        <f>SUM(C72:C81)</f>
        <v>4111.2412256903517</v>
      </c>
      <c r="D82" s="8"/>
      <c r="E82" s="8"/>
      <c r="F82" s="8"/>
      <c r="G82" s="8"/>
    </row>
    <row r="84" spans="1:7" x14ac:dyDescent="0.3">
      <c r="A84" s="1" t="s">
        <v>55</v>
      </c>
      <c r="C84" s="9" t="s">
        <v>57</v>
      </c>
    </row>
    <row r="85" spans="1:7" ht="17.25" x14ac:dyDescent="0.3">
      <c r="A85" s="10" t="s">
        <v>18</v>
      </c>
      <c r="C85" s="1">
        <v>111</v>
      </c>
    </row>
    <row r="86" spans="1:7" x14ac:dyDescent="0.3">
      <c r="A86" s="10" t="s">
        <v>56</v>
      </c>
      <c r="C86" s="1">
        <v>150</v>
      </c>
    </row>
    <row r="87" spans="1:7" x14ac:dyDescent="0.3">
      <c r="A87" s="10" t="s">
        <v>69</v>
      </c>
      <c r="C87" s="1">
        <v>18</v>
      </c>
    </row>
    <row r="88" spans="1:7" x14ac:dyDescent="0.3">
      <c r="A88" s="2" t="s">
        <v>59</v>
      </c>
      <c r="C88" s="1">
        <v>30</v>
      </c>
    </row>
    <row r="90" spans="1:7" x14ac:dyDescent="0.3">
      <c r="A90" s="1" t="s">
        <v>66</v>
      </c>
    </row>
    <row r="91" spans="1:7" x14ac:dyDescent="0.3">
      <c r="A91" s="10" t="s">
        <v>20</v>
      </c>
      <c r="B91" s="8"/>
      <c r="C91" s="9">
        <f t="shared" ref="C91:C96" si="4">$C$51*C104/$C$114</f>
        <v>1544.4526035055001</v>
      </c>
    </row>
    <row r="92" spans="1:7" x14ac:dyDescent="0.3">
      <c r="A92" s="10" t="s">
        <v>21</v>
      </c>
      <c r="B92" s="8"/>
      <c r="C92" s="9">
        <f t="shared" si="4"/>
        <v>859.29317656793273</v>
      </c>
    </row>
    <row r="93" spans="1:7" x14ac:dyDescent="0.3">
      <c r="A93" s="10" t="s">
        <v>22</v>
      </c>
      <c r="B93" s="8"/>
      <c r="C93" s="9">
        <f t="shared" si="4"/>
        <v>632.65678885806039</v>
      </c>
    </row>
    <row r="94" spans="1:7" x14ac:dyDescent="0.3">
      <c r="A94" s="10" t="s">
        <v>37</v>
      </c>
      <c r="B94" s="8"/>
      <c r="C94" s="9">
        <f t="shared" si="4"/>
        <v>4.0477783871363977</v>
      </c>
    </row>
    <row r="95" spans="1:7" x14ac:dyDescent="0.3">
      <c r="A95" s="10" t="s">
        <v>23</v>
      </c>
      <c r="B95" s="8"/>
      <c r="C95" s="9">
        <f t="shared" si="4"/>
        <v>216.37649718516863</v>
      </c>
    </row>
    <row r="96" spans="1:7" x14ac:dyDescent="0.3">
      <c r="A96" s="10" t="s">
        <v>24</v>
      </c>
      <c r="B96" s="8"/>
      <c r="C96" s="9">
        <f t="shared" si="4"/>
        <v>0.80154027468047473</v>
      </c>
    </row>
    <row r="97" spans="1:3" x14ac:dyDescent="0.3">
      <c r="A97" s="10" t="s">
        <v>40</v>
      </c>
      <c r="B97" s="8"/>
      <c r="C97" s="9"/>
    </row>
    <row r="98" spans="1:3" x14ac:dyDescent="0.3">
      <c r="A98" s="10" t="s">
        <v>41</v>
      </c>
      <c r="B98" s="8"/>
      <c r="C98" s="9"/>
    </row>
    <row r="99" spans="1:3" x14ac:dyDescent="0.3">
      <c r="A99" s="10" t="s">
        <v>42</v>
      </c>
      <c r="B99" s="8"/>
      <c r="C99" s="9"/>
    </row>
    <row r="100" spans="1:3" x14ac:dyDescent="0.3">
      <c r="A100" s="10" t="s">
        <v>53</v>
      </c>
      <c r="B100" s="8"/>
      <c r="C100" s="9">
        <f>$C$51*C113/$C$114</f>
        <v>1053.9904594461048</v>
      </c>
    </row>
    <row r="101" spans="1:3" x14ac:dyDescent="0.3">
      <c r="A101" s="10" t="s">
        <v>25</v>
      </c>
      <c r="B101" s="8"/>
      <c r="C101" s="9">
        <f>SUM(C91:C100)</f>
        <v>4311.6188442245839</v>
      </c>
    </row>
    <row r="103" spans="1:3" x14ac:dyDescent="0.3">
      <c r="A103" s="1" t="s">
        <v>65</v>
      </c>
    </row>
    <row r="104" spans="1:3" x14ac:dyDescent="0.3">
      <c r="A104" s="10" t="s">
        <v>20</v>
      </c>
      <c r="B104" s="8"/>
      <c r="C104" s="9">
        <v>35.299999999999997</v>
      </c>
    </row>
    <row r="105" spans="1:3" x14ac:dyDescent="0.3">
      <c r="A105" s="10" t="s">
        <v>21</v>
      </c>
      <c r="B105" s="8"/>
      <c r="C105" s="9">
        <v>19.64</v>
      </c>
    </row>
    <row r="106" spans="1:3" x14ac:dyDescent="0.3">
      <c r="A106" s="10" t="s">
        <v>22</v>
      </c>
      <c r="B106" s="8"/>
      <c r="C106" s="9">
        <v>14.46</v>
      </c>
    </row>
    <row r="107" spans="1:3" x14ac:dyDescent="0.3">
      <c r="A107" s="10" t="s">
        <v>37</v>
      </c>
      <c r="B107" s="8"/>
      <c r="C107" s="9">
        <f>C59*2.02/100</f>
        <v>9.2516000000000001E-2</v>
      </c>
    </row>
    <row r="108" spans="1:3" x14ac:dyDescent="0.3">
      <c r="A108" s="10" t="s">
        <v>23</v>
      </c>
      <c r="B108" s="8"/>
      <c r="C108" s="9">
        <f>C58+C59*97.5/100</f>
        <v>4.9455000000000009</v>
      </c>
    </row>
    <row r="109" spans="1:3" x14ac:dyDescent="0.3">
      <c r="A109" s="10" t="s">
        <v>24</v>
      </c>
      <c r="B109" s="8"/>
      <c r="C109" s="9">
        <f>C59*0.4/100</f>
        <v>1.8319999999999999E-2</v>
      </c>
    </row>
    <row r="110" spans="1:3" x14ac:dyDescent="0.3">
      <c r="A110" s="10" t="s">
        <v>40</v>
      </c>
      <c r="B110" s="8"/>
      <c r="C110" s="9"/>
    </row>
    <row r="111" spans="1:3" x14ac:dyDescent="0.3">
      <c r="A111" s="10" t="s">
        <v>41</v>
      </c>
      <c r="B111" s="8"/>
      <c r="C111" s="9"/>
    </row>
    <row r="112" spans="1:3" x14ac:dyDescent="0.3">
      <c r="A112" s="10" t="s">
        <v>42</v>
      </c>
      <c r="B112" s="8"/>
      <c r="C112" s="9"/>
    </row>
    <row r="113" spans="1:3" x14ac:dyDescent="0.3">
      <c r="A113" s="10" t="s">
        <v>53</v>
      </c>
      <c r="B113" s="8"/>
      <c r="C113" s="11">
        <v>24.09</v>
      </c>
    </row>
    <row r="114" spans="1:3" x14ac:dyDescent="0.3">
      <c r="A114" s="10" t="s">
        <v>25</v>
      </c>
      <c r="B114" s="8"/>
      <c r="C114" s="11">
        <f>SUM(C104:C113)</f>
        <v>98.546336000000011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BA93-830C-4494-8E46-68539A8FD197}">
  <sheetPr>
    <pageSetUpPr fitToPage="1"/>
  </sheetPr>
  <dimension ref="A1:V127"/>
  <sheetViews>
    <sheetView tabSelected="1" topLeftCell="F15" zoomScale="85" zoomScaleNormal="85" workbookViewId="0">
      <selection activeCell="M29" sqref="M29"/>
    </sheetView>
  </sheetViews>
  <sheetFormatPr defaultColWidth="8.875" defaultRowHeight="15" x14ac:dyDescent="0.3"/>
  <cols>
    <col min="1" max="1" width="34.875" style="1" customWidth="1"/>
    <col min="2" max="2" width="8.125" style="1" customWidth="1"/>
    <col min="3" max="3" width="24.5" style="31" bestFit="1" customWidth="1"/>
    <col min="4" max="7" width="24.5" style="31" customWidth="1"/>
    <col min="8" max="8" width="14" style="31" customWidth="1"/>
    <col min="9" max="9" width="19.5" style="1" bestFit="1" customWidth="1"/>
    <col min="10" max="10" width="18.75" style="1" bestFit="1" customWidth="1"/>
    <col min="11" max="12" width="16.25" style="1" bestFit="1" customWidth="1"/>
    <col min="13" max="13" width="25.75" style="1" bestFit="1" customWidth="1"/>
    <col min="14" max="14" width="27.125" style="1" bestFit="1" customWidth="1"/>
    <col min="15" max="17" width="12.75" style="1" bestFit="1" customWidth="1"/>
    <col min="18" max="18" width="9" style="1" bestFit="1" customWidth="1"/>
    <col min="19" max="16384" width="8.875" style="1"/>
  </cols>
  <sheetData>
    <row r="1" spans="1:15" x14ac:dyDescent="0.3">
      <c r="C1" s="31" t="s">
        <v>767</v>
      </c>
      <c r="D1" s="287" t="s">
        <v>768</v>
      </c>
      <c r="E1" s="287"/>
      <c r="F1" s="287"/>
      <c r="G1" s="287"/>
    </row>
    <row r="2" spans="1:15" x14ac:dyDescent="0.3">
      <c r="A2" s="1" t="s">
        <v>2</v>
      </c>
      <c r="D2" s="287"/>
      <c r="E2" s="287"/>
      <c r="F2" s="287"/>
      <c r="G2" s="287"/>
    </row>
    <row r="3" spans="1:15" ht="15.75" thickBot="1" x14ac:dyDescent="0.35">
      <c r="D3" s="287"/>
      <c r="E3" s="287"/>
      <c r="F3" s="287"/>
      <c r="G3" s="287"/>
    </row>
    <row r="4" spans="1:15" x14ac:dyDescent="0.3">
      <c r="A4" s="1" t="s">
        <v>4</v>
      </c>
      <c r="D4" s="287"/>
      <c r="E4" s="287"/>
      <c r="F4" s="287"/>
      <c r="G4" s="287"/>
      <c r="J4" s="3" t="s">
        <v>7</v>
      </c>
      <c r="K4" s="4" t="s">
        <v>8</v>
      </c>
    </row>
    <row r="5" spans="1:15" ht="18" thickBot="1" x14ac:dyDescent="0.35">
      <c r="A5" s="13" t="s">
        <v>769</v>
      </c>
      <c r="B5" s="14"/>
      <c r="C5" s="14"/>
      <c r="D5" s="287"/>
      <c r="E5" s="287"/>
      <c r="F5" s="287"/>
      <c r="G5" s="287"/>
      <c r="J5" s="5">
        <v>1</v>
      </c>
      <c r="K5" s="6">
        <v>453.59199999999998</v>
      </c>
    </row>
    <row r="6" spans="1:15" x14ac:dyDescent="0.3">
      <c r="A6" s="14"/>
      <c r="B6" s="14"/>
      <c r="C6" s="14"/>
      <c r="D6" s="287"/>
      <c r="E6" s="287"/>
      <c r="F6" s="287"/>
      <c r="G6" s="287"/>
    </row>
    <row r="7" spans="1:15" x14ac:dyDescent="0.3">
      <c r="A7" s="14" t="s">
        <v>5</v>
      </c>
      <c r="B7" s="14"/>
      <c r="C7" s="288" t="s">
        <v>770</v>
      </c>
      <c r="D7" s="289" t="s">
        <v>770</v>
      </c>
      <c r="E7" s="289" t="s">
        <v>770</v>
      </c>
      <c r="F7" s="289" t="s">
        <v>770</v>
      </c>
      <c r="G7" s="289" t="s">
        <v>770</v>
      </c>
      <c r="J7" s="1">
        <v>43.5</v>
      </c>
    </row>
    <row r="8" spans="1:15" ht="17.25" x14ac:dyDescent="0.3">
      <c r="A8" s="13" t="s">
        <v>769</v>
      </c>
      <c r="B8" s="14"/>
      <c r="C8" s="14">
        <v>1230</v>
      </c>
      <c r="D8" s="287">
        <v>1230</v>
      </c>
      <c r="E8" s="287">
        <v>1230</v>
      </c>
      <c r="F8" s="287">
        <v>1230</v>
      </c>
      <c r="G8" s="287">
        <v>1230</v>
      </c>
      <c r="H8" s="31">
        <v>1150</v>
      </c>
    </row>
    <row r="9" spans="1:15" x14ac:dyDescent="0.3">
      <c r="A9" s="13" t="s">
        <v>9</v>
      </c>
      <c r="B9" s="14"/>
      <c r="C9" s="14"/>
      <c r="D9" s="287"/>
      <c r="E9" s="287"/>
      <c r="F9" s="287"/>
      <c r="G9" s="287"/>
    </row>
    <row r="10" spans="1:15" x14ac:dyDescent="0.3">
      <c r="A10" s="13" t="s">
        <v>10</v>
      </c>
      <c r="B10" s="14"/>
      <c r="C10" s="14"/>
      <c r="D10" s="287"/>
      <c r="E10" s="287"/>
      <c r="F10" s="287"/>
      <c r="G10" s="287"/>
    </row>
    <row r="11" spans="1:15" x14ac:dyDescent="0.3">
      <c r="A11" s="13" t="s">
        <v>26</v>
      </c>
      <c r="B11" s="14"/>
      <c r="C11" s="14">
        <v>14.4</v>
      </c>
      <c r="D11" s="287">
        <v>14.4</v>
      </c>
      <c r="E11" s="287">
        <v>22.5</v>
      </c>
      <c r="F11" s="287">
        <v>45</v>
      </c>
      <c r="G11" s="287">
        <v>162</v>
      </c>
    </row>
    <row r="12" spans="1:15" s="8" customFormat="1" x14ac:dyDescent="0.3">
      <c r="A12" s="13" t="s">
        <v>6</v>
      </c>
      <c r="B12" s="14"/>
      <c r="C12" s="290">
        <f>C11*60/22400</f>
        <v>3.8571428571428569E-2</v>
      </c>
      <c r="D12" s="313">
        <f>D11*60/22400</f>
        <v>3.8571428571428569E-2</v>
      </c>
      <c r="E12" s="313">
        <f>E11*60/22400</f>
        <v>6.0267857142857144E-2</v>
      </c>
      <c r="F12" s="313">
        <f>F11*60/22400</f>
        <v>0.12053571428571429</v>
      </c>
      <c r="G12" s="313">
        <f>G11*60/22400</f>
        <v>0.43392857142857144</v>
      </c>
      <c r="H12" s="32"/>
    </row>
    <row r="13" spans="1:15" s="8" customFormat="1" x14ac:dyDescent="0.3">
      <c r="A13" s="13" t="s">
        <v>27</v>
      </c>
      <c r="B13" s="14"/>
      <c r="C13" s="14">
        <v>64</v>
      </c>
      <c r="D13" s="291">
        <v>65.599999999999994</v>
      </c>
      <c r="E13" s="291">
        <v>77.5</v>
      </c>
      <c r="F13" s="291">
        <v>105</v>
      </c>
      <c r="G13" s="291">
        <v>198</v>
      </c>
      <c r="H13" s="292"/>
      <c r="I13" s="292"/>
      <c r="J13" s="292"/>
      <c r="K13" s="292"/>
      <c r="L13" s="31"/>
    </row>
    <row r="14" spans="1:15" s="8" customFormat="1" x14ac:dyDescent="0.3">
      <c r="A14" s="13" t="s">
        <v>28</v>
      </c>
      <c r="B14" s="14"/>
      <c r="C14" s="290">
        <f>C13*60/22400</f>
        <v>0.17142857142857143</v>
      </c>
      <c r="D14" s="314">
        <f>D13*60/22400</f>
        <v>0.17571428571428568</v>
      </c>
      <c r="E14" s="314">
        <f>E13*60/22400</f>
        <v>0.20758928571428573</v>
      </c>
      <c r="F14" s="314">
        <f>F13*60/22400</f>
        <v>0.28125</v>
      </c>
      <c r="G14" s="314">
        <f>G13*60/22400</f>
        <v>0.53035714285714286</v>
      </c>
      <c r="H14" s="32"/>
      <c r="I14" s="8" t="s">
        <v>580</v>
      </c>
      <c r="J14" s="8">
        <f>C14/C12</f>
        <v>4.4444444444444446</v>
      </c>
      <c r="K14" s="8">
        <f>D14/D12</f>
        <v>4.5555555555555554</v>
      </c>
      <c r="L14" s="8">
        <f>E14/E12</f>
        <v>3.4444444444444446</v>
      </c>
      <c r="M14" s="8">
        <f>F14/F12</f>
        <v>2.3333333333333335</v>
      </c>
      <c r="N14" s="8">
        <f>G14/G12</f>
        <v>1.2222222222222221</v>
      </c>
      <c r="O14" s="8">
        <v>2.5</v>
      </c>
    </row>
    <row r="15" spans="1:15" x14ac:dyDescent="0.3">
      <c r="A15" s="13" t="s">
        <v>11</v>
      </c>
      <c r="B15" s="14"/>
      <c r="C15" s="14"/>
      <c r="D15" s="293"/>
      <c r="E15" s="293"/>
      <c r="F15" s="293"/>
      <c r="G15" s="293"/>
      <c r="J15" s="1">
        <f>J14*3663</f>
        <v>16280</v>
      </c>
      <c r="K15" s="1">
        <f>K14*3663</f>
        <v>16687</v>
      </c>
    </row>
    <row r="16" spans="1:15" x14ac:dyDescent="0.3">
      <c r="A16" s="13" t="s">
        <v>14</v>
      </c>
      <c r="B16" s="14"/>
      <c r="C16" s="14"/>
      <c r="D16" s="287"/>
      <c r="E16" s="287"/>
      <c r="F16" s="287"/>
      <c r="G16" s="287"/>
    </row>
    <row r="17" spans="1:19" s="8" customFormat="1" x14ac:dyDescent="0.3">
      <c r="A17" s="13" t="s">
        <v>15</v>
      </c>
      <c r="B17" s="14"/>
      <c r="C17" s="14"/>
      <c r="D17" s="287"/>
      <c r="E17" s="287"/>
      <c r="F17" s="287"/>
      <c r="G17" s="287"/>
      <c r="H17" s="31"/>
      <c r="I17" s="14" t="s">
        <v>851</v>
      </c>
    </row>
    <row r="18" spans="1:19" x14ac:dyDescent="0.3">
      <c r="A18" s="13" t="s">
        <v>12</v>
      </c>
      <c r="B18" s="14"/>
      <c r="C18" s="14"/>
      <c r="D18" s="287"/>
      <c r="E18" s="287"/>
      <c r="F18" s="287"/>
      <c r="G18" s="287"/>
      <c r="I18" s="14" t="s">
        <v>22</v>
      </c>
      <c r="J18" s="484">
        <f>C45</f>
        <v>2.6863471544950338E-2</v>
      </c>
      <c r="K18" s="484">
        <f>D45</f>
        <v>2.7989396233616265E-2</v>
      </c>
      <c r="L18" s="484">
        <f>E45</f>
        <v>4.161655612057405E-2</v>
      </c>
      <c r="M18" s="484">
        <f>F45</f>
        <v>8.2340326319338381E-2</v>
      </c>
      <c r="N18" s="484">
        <f>G45</f>
        <v>0.31211677539205712</v>
      </c>
    </row>
    <row r="19" spans="1:19" x14ac:dyDescent="0.3">
      <c r="A19" s="13" t="s">
        <v>16</v>
      </c>
      <c r="B19" s="14"/>
      <c r="C19" s="14"/>
      <c r="D19" s="287"/>
      <c r="E19" s="287"/>
      <c r="F19" s="287"/>
      <c r="G19" s="287"/>
      <c r="I19" s="14" t="s">
        <v>30</v>
      </c>
      <c r="J19" s="484">
        <f t="shared" ref="J19:N21" si="0">C46*2</f>
        <v>2.3219660294363615E-4</v>
      </c>
      <c r="K19" s="484">
        <f t="shared" si="0"/>
        <v>6.3791607304155163E-4</v>
      </c>
      <c r="L19" s="484">
        <f t="shared" si="0"/>
        <v>8.1582930914613297E-4</v>
      </c>
      <c r="M19" s="484">
        <f t="shared" si="0"/>
        <v>1.3307040826151788E-3</v>
      </c>
      <c r="N19" s="484">
        <f t="shared" si="0"/>
        <v>3.6049503668946692E-3</v>
      </c>
    </row>
    <row r="20" spans="1:19" s="8" customFormat="1" x14ac:dyDescent="0.3">
      <c r="A20" s="13" t="s">
        <v>17</v>
      </c>
      <c r="B20" s="14"/>
      <c r="C20" s="14"/>
      <c r="D20" s="287"/>
      <c r="E20" s="287"/>
      <c r="F20" s="287"/>
      <c r="G20" s="287"/>
      <c r="H20" s="31"/>
      <c r="I20" s="14" t="s">
        <v>23</v>
      </c>
      <c r="J20" s="484">
        <f t="shared" si="0"/>
        <v>4.118972356577608E-3</v>
      </c>
      <c r="K20" s="484">
        <f t="shared" si="0"/>
        <v>8.4717493506383194E-3</v>
      </c>
      <c r="L20" s="484">
        <f t="shared" si="0"/>
        <v>1.3754806112159689E-2</v>
      </c>
      <c r="M20" s="484">
        <f t="shared" si="0"/>
        <v>2.645473474846682E-2</v>
      </c>
      <c r="N20" s="484">
        <f t="shared" si="0"/>
        <v>7.6315145178141974E-2</v>
      </c>
    </row>
    <row r="21" spans="1:19" s="8" customFormat="1" x14ac:dyDescent="0.3">
      <c r="A21" s="13" t="s">
        <v>52</v>
      </c>
      <c r="B21" s="14"/>
      <c r="C21" s="14"/>
      <c r="D21" s="287"/>
      <c r="E21" s="287"/>
      <c r="F21" s="287"/>
      <c r="G21" s="287"/>
      <c r="H21" s="31"/>
      <c r="I21" s="14" t="s">
        <v>24</v>
      </c>
      <c r="J21" s="484">
        <f t="shared" si="0"/>
        <v>4.8484740553253261E-3</v>
      </c>
      <c r="K21" s="484">
        <f t="shared" si="0"/>
        <v>0</v>
      </c>
      <c r="L21" s="484">
        <f t="shared" si="0"/>
        <v>0</v>
      </c>
      <c r="M21" s="484">
        <f t="shared" si="0"/>
        <v>0</v>
      </c>
      <c r="N21" s="484">
        <f t="shared" si="0"/>
        <v>3.4907812680926199E-4</v>
      </c>
    </row>
    <row r="22" spans="1:19" x14ac:dyDescent="0.3">
      <c r="A22" s="13" t="s">
        <v>13</v>
      </c>
      <c r="B22" s="14"/>
      <c r="C22" s="14"/>
      <c r="D22" s="287"/>
      <c r="E22" s="287"/>
      <c r="F22" s="287"/>
      <c r="G22" s="287"/>
      <c r="I22" s="14" t="s">
        <v>31</v>
      </c>
      <c r="J22" s="484">
        <f>C49*3</f>
        <v>0</v>
      </c>
      <c r="K22" s="484">
        <f>D49*3</f>
        <v>1.1935237840855585E-4</v>
      </c>
      <c r="L22" s="484">
        <f>E49*3</f>
        <v>2.3259789579073518E-4</v>
      </c>
      <c r="M22" s="484">
        <f>F49*3</f>
        <v>6.3994830899960042E-4</v>
      </c>
      <c r="N22" s="484">
        <f>G49*3</f>
        <v>2.9762308338062383E-3</v>
      </c>
    </row>
    <row r="23" spans="1:19" x14ac:dyDescent="0.3">
      <c r="A23" s="13"/>
      <c r="B23" s="14"/>
      <c r="C23" s="14"/>
      <c r="D23" s="287"/>
      <c r="E23" s="287"/>
      <c r="F23" s="287"/>
      <c r="G23" s="287"/>
      <c r="I23" s="14" t="s">
        <v>32</v>
      </c>
      <c r="J23" s="484">
        <f>C50*6</f>
        <v>8.7563668214770394E-4</v>
      </c>
      <c r="K23" s="484">
        <f>D50*6</f>
        <v>8.7970214010913653E-4</v>
      </c>
      <c r="L23" s="484">
        <f>E50*6</f>
        <v>2.0476512842567485E-3</v>
      </c>
      <c r="M23" s="484">
        <f>F50*6</f>
        <v>5.4556720074326083E-3</v>
      </c>
      <c r="N23" s="484">
        <f>G50*6</f>
        <v>2.1463409997319015E-2</v>
      </c>
    </row>
    <row r="24" spans="1:19" x14ac:dyDescent="0.3">
      <c r="A24" s="14" t="s">
        <v>771</v>
      </c>
      <c r="B24" s="14"/>
      <c r="C24" s="288" t="s">
        <v>772</v>
      </c>
      <c r="D24" s="294" t="s">
        <v>770</v>
      </c>
      <c r="E24" s="294" t="s">
        <v>770</v>
      </c>
      <c r="F24" s="294" t="s">
        <v>770</v>
      </c>
      <c r="G24" s="294" t="s">
        <v>770</v>
      </c>
      <c r="H24" s="294" t="s">
        <v>770</v>
      </c>
      <c r="I24" s="14" t="s">
        <v>774</v>
      </c>
      <c r="J24" s="484">
        <f>C51*7</f>
        <v>0</v>
      </c>
      <c r="K24" s="484">
        <f>D51*7</f>
        <v>1.1922658284869083E-5</v>
      </c>
      <c r="L24" s="484">
        <f>E51*7</f>
        <v>3.2852261343711581E-5</v>
      </c>
      <c r="M24" s="484">
        <f>F51*7</f>
        <v>1.1618638170816654E-4</v>
      </c>
      <c r="N24" s="484">
        <f>G51*7</f>
        <v>8.3245595588044008E-4</v>
      </c>
    </row>
    <row r="25" spans="1:19" ht="17.25" x14ac:dyDescent="0.3">
      <c r="A25" s="13" t="s">
        <v>769</v>
      </c>
      <c r="B25" s="14"/>
      <c r="C25" s="14"/>
      <c r="D25" s="287">
        <v>200</v>
      </c>
      <c r="E25" s="287">
        <v>200</v>
      </c>
      <c r="F25" s="287">
        <v>200</v>
      </c>
      <c r="G25" s="287">
        <v>200</v>
      </c>
      <c r="H25" s="287">
        <v>200</v>
      </c>
      <c r="I25" s="14" t="s">
        <v>33</v>
      </c>
      <c r="J25" s="484">
        <f>C52*10</f>
        <v>3.1341004443771818E-4</v>
      </c>
      <c r="K25" s="484">
        <f>D52*10</f>
        <v>1.056442171920384E-4</v>
      </c>
      <c r="L25" s="484">
        <f>E52*10</f>
        <v>3.0244963547605659E-4</v>
      </c>
      <c r="M25" s="484">
        <f>F52*10</f>
        <v>9.6099069225996138E-4</v>
      </c>
      <c r="N25" s="484">
        <f>G52*10</f>
        <v>4.3561428818119242E-3</v>
      </c>
    </row>
    <row r="26" spans="1:19" x14ac:dyDescent="0.3">
      <c r="A26" s="13" t="s">
        <v>773</v>
      </c>
      <c r="B26" s="14"/>
      <c r="C26" s="14"/>
      <c r="D26" s="287">
        <v>1.532</v>
      </c>
      <c r="E26" s="287">
        <v>1.532</v>
      </c>
      <c r="F26" s="287">
        <v>1.532</v>
      </c>
      <c r="G26" s="287">
        <v>1.532</v>
      </c>
      <c r="H26" s="287">
        <v>1.532</v>
      </c>
      <c r="I26" s="14" t="s">
        <v>72</v>
      </c>
      <c r="J26" s="484">
        <f>C53</f>
        <v>6.5963364252312083E-4</v>
      </c>
      <c r="K26" s="484">
        <f>D53</f>
        <v>3.1596139400164676E-4</v>
      </c>
      <c r="L26" s="484">
        <f>E53</f>
        <v>1.3875818921797753E-3</v>
      </c>
      <c r="M26" s="484">
        <f>F53</f>
        <v>3.0238356418937073E-3</v>
      </c>
      <c r="N26" s="484">
        <f>G53</f>
        <v>1.0922305751248713E-2</v>
      </c>
    </row>
    <row r="27" spans="1:19" x14ac:dyDescent="0.3">
      <c r="A27" s="14"/>
      <c r="B27" s="14"/>
      <c r="C27" s="14"/>
      <c r="D27" s="287"/>
      <c r="E27" s="287"/>
      <c r="F27" s="287"/>
      <c r="G27" s="287"/>
      <c r="I27" s="14" t="s">
        <v>852</v>
      </c>
      <c r="J27" s="484">
        <f>SUM(J19:J26)</f>
        <v>1.1048323383955113E-2</v>
      </c>
      <c r="K27" s="484">
        <f>SUM(K19:K26)</f>
        <v>1.054224821167612E-2</v>
      </c>
      <c r="L27" s="484">
        <f>SUM(L19:L26)</f>
        <v>1.8573768390352848E-2</v>
      </c>
      <c r="M27" s="484">
        <f>SUM(M19:M26)</f>
        <v>3.7982071863376043E-2</v>
      </c>
      <c r="N27" s="484">
        <f>SUM(N19:N26)</f>
        <v>0.12081971909191222</v>
      </c>
    </row>
    <row r="28" spans="1:19" x14ac:dyDescent="0.3">
      <c r="A28" s="14"/>
      <c r="B28" s="14"/>
      <c r="C28" s="14"/>
      <c r="D28" s="287"/>
      <c r="E28" s="287"/>
      <c r="F28" s="287"/>
      <c r="G28" s="287"/>
    </row>
    <row r="29" spans="1:19" x14ac:dyDescent="0.3">
      <c r="A29" s="14"/>
      <c r="B29" s="14"/>
      <c r="C29" s="14"/>
      <c r="D29" s="287"/>
      <c r="E29" s="287"/>
      <c r="F29" s="287"/>
      <c r="G29" s="287"/>
      <c r="I29" s="14"/>
      <c r="J29" s="1" t="s">
        <v>855</v>
      </c>
      <c r="K29" s="1" t="s">
        <v>854</v>
      </c>
    </row>
    <row r="30" spans="1:19" x14ac:dyDescent="0.3">
      <c r="A30" s="14" t="s">
        <v>34</v>
      </c>
      <c r="B30" s="14"/>
      <c r="C30" s="17">
        <v>30.353962661239862</v>
      </c>
      <c r="D30" s="295">
        <v>27.434898653587446</v>
      </c>
      <c r="E30" s="295">
        <v>30.947343918454905</v>
      </c>
      <c r="F30" s="295">
        <v>31.688025572104458</v>
      </c>
      <c r="G30" s="295">
        <v>28.07185423063704</v>
      </c>
      <c r="H30" s="33">
        <v>20</v>
      </c>
      <c r="I30" s="14" t="s">
        <v>950</v>
      </c>
      <c r="J30" s="30">
        <v>4.4444444444444446</v>
      </c>
      <c r="K30" s="30">
        <v>4.5555555555555554</v>
      </c>
      <c r="L30" s="30">
        <v>3.4444444444444446</v>
      </c>
      <c r="M30" s="30">
        <v>2.3333333333333335</v>
      </c>
      <c r="N30" s="30">
        <v>1.2222222222222221</v>
      </c>
    </row>
    <row r="31" spans="1:19" x14ac:dyDescent="0.3">
      <c r="A31" s="14"/>
      <c r="B31" s="14"/>
      <c r="C31" s="17"/>
      <c r="D31" s="295"/>
      <c r="E31" s="295"/>
      <c r="F31" s="295"/>
      <c r="G31" s="295"/>
      <c r="H31" s="33"/>
      <c r="I31" s="14" t="s">
        <v>30</v>
      </c>
      <c r="J31" s="485">
        <f t="shared" ref="J31:N38" si="1">J19/J$27</f>
        <v>2.1016456060730701E-2</v>
      </c>
      <c r="K31" s="485">
        <f t="shared" si="1"/>
        <v>6.0510439541256907E-2</v>
      </c>
      <c r="L31" s="485">
        <f t="shared" si="1"/>
        <v>4.3923736529947896E-2</v>
      </c>
      <c r="M31" s="485">
        <f t="shared" si="1"/>
        <v>3.5035057787311003E-2</v>
      </c>
      <c r="N31" s="485">
        <f t="shared" si="1"/>
        <v>2.9837433773142977E-2</v>
      </c>
      <c r="P31" s="1" t="s">
        <v>956</v>
      </c>
    </row>
    <row r="32" spans="1:19" x14ac:dyDescent="0.3">
      <c r="A32" s="14" t="s">
        <v>29</v>
      </c>
      <c r="B32" s="14"/>
      <c r="C32" s="17"/>
      <c r="D32" s="295"/>
      <c r="E32" s="295"/>
      <c r="F32" s="295"/>
      <c r="G32" s="295"/>
      <c r="H32" s="33"/>
      <c r="I32" s="14" t="s">
        <v>23</v>
      </c>
      <c r="J32" s="485">
        <f t="shared" si="1"/>
        <v>0.37281424641854444</v>
      </c>
      <c r="K32" s="485">
        <f t="shared" si="1"/>
        <v>0.8035998755232675</v>
      </c>
      <c r="L32" s="485">
        <f t="shared" si="1"/>
        <v>0.74055010394680532</v>
      </c>
      <c r="M32" s="485">
        <f t="shared" si="1"/>
        <v>0.69650583684919043</v>
      </c>
      <c r="N32" s="485">
        <f t="shared" si="1"/>
        <v>0.63164478242236355</v>
      </c>
      <c r="P32" s="1">
        <f>D30*K32</f>
        <v>22.046681143016333</v>
      </c>
      <c r="Q32" s="1">
        <f t="shared" ref="Q32:S32" si="2">E30*L32</f>
        <v>22.918058755689312</v>
      </c>
      <c r="R32" s="1">
        <f t="shared" si="2"/>
        <v>22.07089476919716</v>
      </c>
      <c r="S32" s="1">
        <f t="shared" si="2"/>
        <v>17.731440257703039</v>
      </c>
    </row>
    <row r="33" spans="1:18" x14ac:dyDescent="0.3">
      <c r="A33" s="14" t="s">
        <v>30</v>
      </c>
      <c r="B33" s="14"/>
      <c r="C33" s="17">
        <v>1.9832375743992734</v>
      </c>
      <c r="D33" s="295">
        <v>6.0282944965317729</v>
      </c>
      <c r="E33" s="295">
        <v>4.3741147503407127</v>
      </c>
      <c r="F33" s="295">
        <v>3.4839391703171643</v>
      </c>
      <c r="G33" s="295">
        <v>2.9594427503671721</v>
      </c>
      <c r="H33" s="295">
        <v>3.4839391703171643</v>
      </c>
      <c r="I33" s="14" t="s">
        <v>24</v>
      </c>
      <c r="J33" s="485">
        <f t="shared" si="1"/>
        <v>0.43884251816583364</v>
      </c>
      <c r="K33" s="485">
        <f t="shared" si="1"/>
        <v>0</v>
      </c>
      <c r="L33" s="485">
        <f t="shared" si="1"/>
        <v>0</v>
      </c>
      <c r="M33" s="485">
        <f t="shared" si="1"/>
        <v>0</v>
      </c>
      <c r="N33" s="485">
        <f t="shared" si="1"/>
        <v>2.8892479591324394E-3</v>
      </c>
    </row>
    <row r="34" spans="1:18" x14ac:dyDescent="0.3">
      <c r="A34" s="14" t="s">
        <v>23</v>
      </c>
      <c r="B34" s="14"/>
      <c r="C34" s="17">
        <v>35.180965793283235</v>
      </c>
      <c r="D34" s="295">
        <v>80.057866770701466</v>
      </c>
      <c r="E34" s="295">
        <v>73.747166997768886</v>
      </c>
      <c r="F34" s="295">
        <v>69.261594545800662</v>
      </c>
      <c r="G34" s="295">
        <v>62.650045119822167</v>
      </c>
      <c r="H34" s="295">
        <v>69.261594545800662</v>
      </c>
      <c r="I34" s="14" t="s">
        <v>31</v>
      </c>
      <c r="J34" s="485">
        <f t="shared" si="1"/>
        <v>0</v>
      </c>
      <c r="K34" s="485">
        <f t="shared" si="1"/>
        <v>1.1321340193486103E-2</v>
      </c>
      <c r="L34" s="485">
        <f t="shared" si="1"/>
        <v>1.2522924314677344E-2</v>
      </c>
      <c r="M34" s="485">
        <f t="shared" si="1"/>
        <v>1.6848694070758848E-2</v>
      </c>
      <c r="N34" s="485">
        <f t="shared" si="1"/>
        <v>2.4633651329234632E-2</v>
      </c>
    </row>
    <row r="35" spans="1:18" x14ac:dyDescent="0.3">
      <c r="A35" s="14" t="s">
        <v>24</v>
      </c>
      <c r="B35" s="14"/>
      <c r="C35" s="17">
        <v>41.411785543457484</v>
      </c>
      <c r="D35" s="295">
        <v>0</v>
      </c>
      <c r="E35" s="295">
        <v>0</v>
      </c>
      <c r="F35" s="295">
        <v>0</v>
      </c>
      <c r="G35" s="295">
        <v>0.28657169352024192</v>
      </c>
      <c r="H35" s="295">
        <v>0</v>
      </c>
      <c r="I35" s="14" t="s">
        <v>32</v>
      </c>
      <c r="J35" s="485">
        <f>J23/J$27</f>
        <v>7.9255164038676135E-2</v>
      </c>
      <c r="K35" s="485">
        <f t="shared" si="1"/>
        <v>8.3445402009679301E-2</v>
      </c>
      <c r="L35" s="485">
        <f t="shared" si="1"/>
        <v>0.11024425637396726</v>
      </c>
      <c r="M35" s="485">
        <f t="shared" si="1"/>
        <v>0.14363808343728618</v>
      </c>
      <c r="N35" s="485">
        <f t="shared" si="1"/>
        <v>0.17764823622037204</v>
      </c>
    </row>
    <row r="36" spans="1:18" x14ac:dyDescent="0.3">
      <c r="A36" s="14" t="s">
        <v>31</v>
      </c>
      <c r="B36" s="14"/>
      <c r="C36" s="17">
        <v>0</v>
      </c>
      <c r="D36" s="295">
        <v>1.5038368761745864</v>
      </c>
      <c r="E36" s="295">
        <v>1.6627822764238318</v>
      </c>
      <c r="F36" s="295">
        <v>2.2339461841587034</v>
      </c>
      <c r="G36" s="295">
        <v>3.257736859260147</v>
      </c>
      <c r="H36" s="295">
        <v>2.2339461841587034</v>
      </c>
      <c r="I36" s="14" t="s">
        <v>774</v>
      </c>
      <c r="J36" s="485">
        <f t="shared" si="1"/>
        <v>0</v>
      </c>
      <c r="K36" s="485">
        <f t="shared" si="1"/>
        <v>1.1309407676119865E-3</v>
      </c>
      <c r="L36" s="485">
        <f t="shared" si="1"/>
        <v>1.7687450738739121E-3</v>
      </c>
      <c r="M36" s="485">
        <f t="shared" si="1"/>
        <v>3.0589795660988803E-3</v>
      </c>
      <c r="N36" s="485">
        <f t="shared" si="1"/>
        <v>6.8900669703358501E-3</v>
      </c>
    </row>
    <row r="37" spans="1:18" x14ac:dyDescent="0.3">
      <c r="A37" s="14" t="s">
        <v>32</v>
      </c>
      <c r="B37" s="14"/>
      <c r="C37" s="17">
        <v>7.478987838505045</v>
      </c>
      <c r="D37" s="295">
        <v>8.3131681327955889</v>
      </c>
      <c r="E37" s="295">
        <v>10.978597588502685</v>
      </c>
      <c r="F37" s="295">
        <v>14.283588406629971</v>
      </c>
      <c r="G37" s="295">
        <v>17.620140820257788</v>
      </c>
      <c r="H37" s="295">
        <v>14.283588406629971</v>
      </c>
      <c r="I37" s="14" t="s">
        <v>33</v>
      </c>
      <c r="J37" s="485">
        <f t="shared" si="1"/>
        <v>2.8367204103825087E-2</v>
      </c>
      <c r="K37" s="485">
        <f t="shared" si="1"/>
        <v>1.0021032997025399E-2</v>
      </c>
      <c r="L37" s="485">
        <f t="shared" si="1"/>
        <v>1.6283698015376775E-2</v>
      </c>
      <c r="M37" s="485">
        <f t="shared" si="1"/>
        <v>2.5301165658279695E-2</v>
      </c>
      <c r="N37" s="485">
        <f t="shared" si="1"/>
        <v>3.6054899933164374E-2</v>
      </c>
    </row>
    <row r="38" spans="1:18" x14ac:dyDescent="0.3">
      <c r="A38" s="14" t="s">
        <v>774</v>
      </c>
      <c r="B38" s="14"/>
      <c r="C38" s="17"/>
      <c r="D38" s="295">
        <v>0.11266888915342264</v>
      </c>
      <c r="E38" s="295">
        <v>0.17613924789730384</v>
      </c>
      <c r="F38" s="295">
        <v>0.30418955767761158</v>
      </c>
      <c r="G38" s="295">
        <v>0.68339519075057642</v>
      </c>
      <c r="H38" s="295">
        <v>0.30418955767761158</v>
      </c>
      <c r="I38" s="14" t="s">
        <v>72</v>
      </c>
      <c r="J38" s="485">
        <f t="shared" si="1"/>
        <v>5.9704411212390049E-2</v>
      </c>
      <c r="K38" s="485">
        <f t="shared" si="1"/>
        <v>2.9970968967672582E-2</v>
      </c>
      <c r="L38" s="485">
        <f t="shared" si="1"/>
        <v>7.4706535745351521E-2</v>
      </c>
      <c r="M38" s="485">
        <f t="shared" si="1"/>
        <v>7.961218263107496E-2</v>
      </c>
      <c r="N38" s="485">
        <f>N26/N$27</f>
        <v>9.0401681392254296E-2</v>
      </c>
    </row>
    <row r="39" spans="1:18" x14ac:dyDescent="0.3">
      <c r="A39" s="14" t="s">
        <v>33</v>
      </c>
      <c r="B39" s="14"/>
      <c r="C39" s="17">
        <v>2.6768978031685888</v>
      </c>
      <c r="D39" s="295">
        <v>0.99833579996296762</v>
      </c>
      <c r="E39" s="295">
        <v>1.621600740424026</v>
      </c>
      <c r="F39" s="295">
        <v>2.5159862052086992</v>
      </c>
      <c r="G39" s="295">
        <v>3.5761256491991351</v>
      </c>
      <c r="H39" s="295">
        <v>2.5159862052086992</v>
      </c>
      <c r="I39" s="1" t="s">
        <v>853</v>
      </c>
      <c r="J39" s="485">
        <f>C30/100</f>
        <v>0.30353962661239864</v>
      </c>
      <c r="K39" s="485">
        <f>D30/100</f>
        <v>0.27434898653587447</v>
      </c>
      <c r="L39" s="485">
        <f>E30/100</f>
        <v>0.30947343918454906</v>
      </c>
      <c r="M39" s="485">
        <f>F30/100</f>
        <v>0.31688025572104456</v>
      </c>
      <c r="N39" s="485">
        <f>G30/100</f>
        <v>0.28071854230637039</v>
      </c>
    </row>
    <row r="40" spans="1:18" x14ac:dyDescent="0.3">
      <c r="A40" s="14" t="s">
        <v>70</v>
      </c>
      <c r="B40" s="14"/>
      <c r="C40" s="17">
        <v>11.268125447186399</v>
      </c>
      <c r="D40" s="295">
        <v>2.9858290346801906</v>
      </c>
      <c r="E40" s="295">
        <v>7.4395983986425538</v>
      </c>
      <c r="F40" s="295">
        <v>7.9167559302071888</v>
      </c>
      <c r="G40" s="549">
        <v>8.96654191682277</v>
      </c>
      <c r="H40" s="295">
        <v>7.9167559302071888</v>
      </c>
    </row>
    <row r="41" spans="1:18" x14ac:dyDescent="0.3">
      <c r="A41" s="14" t="s">
        <v>25</v>
      </c>
      <c r="B41" s="14"/>
      <c r="C41" s="17">
        <f t="shared" ref="C41:H41" si="3">SUM(C33:C40)</f>
        <v>100.00000000000003</v>
      </c>
      <c r="D41" s="295">
        <f t="shared" si="3"/>
        <v>100.00000000000001</v>
      </c>
      <c r="E41" s="295">
        <f t="shared" si="3"/>
        <v>100</v>
      </c>
      <c r="F41" s="295">
        <f t="shared" si="3"/>
        <v>100</v>
      </c>
      <c r="G41" s="295">
        <f t="shared" si="3"/>
        <v>100</v>
      </c>
      <c r="H41" s="295">
        <f t="shared" si="3"/>
        <v>100</v>
      </c>
    </row>
    <row r="42" spans="1:18" x14ac:dyDescent="0.3">
      <c r="A42" s="14"/>
      <c r="B42" s="14"/>
      <c r="C42" s="17"/>
      <c r="D42" s="295"/>
      <c r="E42" s="295"/>
      <c r="F42" s="295"/>
      <c r="G42" s="295"/>
      <c r="H42" s="33"/>
      <c r="L42" s="14"/>
      <c r="M42" s="296" t="s">
        <v>38</v>
      </c>
      <c r="N42" s="297" t="s">
        <v>767</v>
      </c>
      <c r="O42" s="556" t="s">
        <v>768</v>
      </c>
      <c r="P42" s="556"/>
      <c r="Q42" s="556"/>
      <c r="R42" s="557"/>
    </row>
    <row r="43" spans="1:18" x14ac:dyDescent="0.3">
      <c r="A43" s="14" t="s">
        <v>775</v>
      </c>
      <c r="B43" s="14"/>
      <c r="C43" s="17"/>
      <c r="D43" s="295"/>
      <c r="E43" s="295"/>
      <c r="F43" s="295"/>
      <c r="G43" s="295"/>
      <c r="H43" s="33"/>
      <c r="L43" s="14"/>
      <c r="M43" s="298" t="s">
        <v>22</v>
      </c>
      <c r="N43" s="14">
        <f>C12*C30/100*2</f>
        <v>2.3415914052956465E-2</v>
      </c>
      <c r="O43" s="311">
        <f>D12*D30/100*2</f>
        <v>2.1164064675624598E-2</v>
      </c>
      <c r="P43" s="299">
        <f>E12*E30/100*2</f>
        <v>3.7302602044566181E-2</v>
      </c>
      <c r="Q43" s="299">
        <f>F12*F30/100*2</f>
        <v>7.6390775932751828E-2</v>
      </c>
      <c r="R43" s="300">
        <f>G12*G30/100*2</f>
        <v>0.24362359207302858</v>
      </c>
    </row>
    <row r="44" spans="1:18" x14ac:dyDescent="0.3">
      <c r="A44" s="14" t="s">
        <v>20</v>
      </c>
      <c r="B44" s="14"/>
      <c r="C44" s="301">
        <f t="shared" ref="C44:H44" si="4">C14+N52</f>
        <v>0.18738979883402324</v>
      </c>
      <c r="D44" s="302">
        <f t="shared" si="4"/>
        <v>0.18680166872064216</v>
      </c>
      <c r="E44" s="302">
        <f t="shared" si="4"/>
        <v>0.22843962893816541</v>
      </c>
      <c r="F44" s="302">
        <f t="shared" si="4"/>
        <v>0.32515809614962354</v>
      </c>
      <c r="G44" s="302">
        <f t="shared" si="4"/>
        <v>0.67516546609084427</v>
      </c>
      <c r="H44" s="302">
        <f t="shared" si="4"/>
        <v>0.52387776999784941</v>
      </c>
      <c r="L44" s="14"/>
      <c r="M44" s="298" t="s">
        <v>30</v>
      </c>
      <c r="N44" s="14">
        <f>C46*3</f>
        <v>3.4829490441545423E-4</v>
      </c>
      <c r="O44" s="311">
        <f>D46*3</f>
        <v>9.5687410956232745E-4</v>
      </c>
      <c r="P44" s="299">
        <f>E46*3</f>
        <v>1.2237439637191995E-3</v>
      </c>
      <c r="Q44" s="299">
        <f>F46*3</f>
        <v>1.9960561239227683E-3</v>
      </c>
      <c r="R44" s="300">
        <f>G46*3</f>
        <v>5.4074255503420033E-3</v>
      </c>
    </row>
    <row r="45" spans="1:18" x14ac:dyDescent="0.3">
      <c r="A45" s="14" t="s">
        <v>22</v>
      </c>
      <c r="B45" s="14"/>
      <c r="C45" s="301">
        <f>C12*(100-C30)/100</f>
        <v>2.6863471544950338E-2</v>
      </c>
      <c r="D45" s="302">
        <f>D12*(100-D30)/100</f>
        <v>2.7989396233616265E-2</v>
      </c>
      <c r="E45" s="302">
        <f>E12*(100-E30)/100</f>
        <v>4.161655612057405E-2</v>
      </c>
      <c r="F45" s="302">
        <f>F12*(100-F30)/100</f>
        <v>8.2340326319338381E-2</v>
      </c>
      <c r="G45" s="302">
        <f>G12*(100-G30)/100</f>
        <v>0.31211677539205712</v>
      </c>
      <c r="H45" s="34"/>
      <c r="L45" s="14"/>
      <c r="M45" s="298" t="s">
        <v>23</v>
      </c>
      <c r="N45" s="14">
        <f>C47*2</f>
        <v>4.118972356577608E-3</v>
      </c>
      <c r="O45" s="311">
        <f>D47*2</f>
        <v>8.4717493506383194E-3</v>
      </c>
      <c r="P45" s="299">
        <f>E47*2</f>
        <v>1.3754806112159689E-2</v>
      </c>
      <c r="Q45" s="299">
        <f>F47*2</f>
        <v>2.645473474846682E-2</v>
      </c>
      <c r="R45" s="300">
        <f>G47*2</f>
        <v>7.6315145178141974E-2</v>
      </c>
    </row>
    <row r="46" spans="1:18" x14ac:dyDescent="0.3">
      <c r="A46" s="14" t="s">
        <v>30</v>
      </c>
      <c r="B46" s="14"/>
      <c r="C46" s="301">
        <f>($C$12-$C$45)*C33/100/2</f>
        <v>1.1609830147181808E-4</v>
      </c>
      <c r="D46" s="302">
        <f>(D12-D45)*D33/100/2</f>
        <v>3.1895803652077582E-4</v>
      </c>
      <c r="E46" s="302">
        <f>(E12-E45)*E33/100/2</f>
        <v>4.0791465457306648E-4</v>
      </c>
      <c r="F46" s="302">
        <f>(F12-F45)*F33/100/2</f>
        <v>6.6535204130758942E-4</v>
      </c>
      <c r="G46" s="302">
        <f>(G12-G45)*G33/100/2</f>
        <v>1.8024751834473346E-3</v>
      </c>
      <c r="H46" s="34"/>
      <c r="L46" s="14"/>
      <c r="M46" s="298" t="s">
        <v>24</v>
      </c>
      <c r="N46" s="14">
        <f>C48*1</f>
        <v>2.4242370276626631E-3</v>
      </c>
      <c r="O46" s="311">
        <f>D48*1</f>
        <v>0</v>
      </c>
      <c r="P46" s="299">
        <f>E48*1</f>
        <v>0</v>
      </c>
      <c r="Q46" s="299">
        <f>F48*1</f>
        <v>0</v>
      </c>
      <c r="R46" s="300">
        <f>G48*1</f>
        <v>1.74539063404631E-4</v>
      </c>
    </row>
    <row r="47" spans="1:18" x14ac:dyDescent="0.3">
      <c r="A47" s="14" t="s">
        <v>23</v>
      </c>
      <c r="B47" s="14"/>
      <c r="C47" s="301">
        <f>($C$12-$C$45)*C34/100/2</f>
        <v>2.059486178288804E-3</v>
      </c>
      <c r="D47" s="302">
        <f>(D12-D45)*D34/100/2</f>
        <v>4.2358746753191597E-3</v>
      </c>
      <c r="E47" s="302">
        <f>(E12-E45)*E34/100/2</f>
        <v>6.8774030560798446E-3</v>
      </c>
      <c r="F47" s="302">
        <f>(F12-F45)*F34/100/2</f>
        <v>1.322736737423341E-2</v>
      </c>
      <c r="G47" s="302">
        <f>(G12-G45)*G34/100/2</f>
        <v>3.8157572589070987E-2</v>
      </c>
      <c r="H47" s="34"/>
      <c r="L47" s="14"/>
      <c r="M47" s="298" t="s">
        <v>31</v>
      </c>
      <c r="N47" s="14">
        <f>C49*4</f>
        <v>0</v>
      </c>
      <c r="O47" s="311">
        <f>D49*4</f>
        <v>1.5913650454474113E-4</v>
      </c>
      <c r="P47" s="299">
        <f>E49*4</f>
        <v>3.1013052772098024E-4</v>
      </c>
      <c r="Q47" s="299">
        <f>F49*4</f>
        <v>8.5326441199946716E-4</v>
      </c>
      <c r="R47" s="300">
        <f>G49*4</f>
        <v>3.9683077784083177E-3</v>
      </c>
    </row>
    <row r="48" spans="1:18" x14ac:dyDescent="0.3">
      <c r="A48" s="14" t="s">
        <v>24</v>
      </c>
      <c r="B48" s="14"/>
      <c r="C48" s="301">
        <f>($C$12-$C$45)*C35/100/2</f>
        <v>2.4242370276626631E-3</v>
      </c>
      <c r="D48" s="302">
        <f>(D12-D45)*D35/100/2</f>
        <v>0</v>
      </c>
      <c r="E48" s="302">
        <f>(E12-E45)*E35/100/2</f>
        <v>0</v>
      </c>
      <c r="F48" s="302">
        <f>(F12-F45)*F35/100/2</f>
        <v>0</v>
      </c>
      <c r="G48" s="302">
        <f>(G12-G45)*G35/100/2</f>
        <v>1.74539063404631E-4</v>
      </c>
      <c r="H48" s="34"/>
      <c r="L48" s="40"/>
      <c r="M48" s="298" t="s">
        <v>32</v>
      </c>
      <c r="N48" s="14">
        <f>C50*3</f>
        <v>4.3781834107385197E-4</v>
      </c>
      <c r="O48" s="311">
        <f>D50*3</f>
        <v>4.3985107005456827E-4</v>
      </c>
      <c r="P48" s="299">
        <f>E50*3</f>
        <v>1.0238256421283743E-3</v>
      </c>
      <c r="Q48" s="299">
        <f>F50*3</f>
        <v>2.7278360037163042E-3</v>
      </c>
      <c r="R48" s="300">
        <f>G50*3</f>
        <v>1.0731704998659507E-2</v>
      </c>
    </row>
    <row r="49" spans="1:22" x14ac:dyDescent="0.3">
      <c r="A49" s="14" t="s">
        <v>31</v>
      </c>
      <c r="B49" s="14"/>
      <c r="C49" s="301">
        <f>($C$12-$C$45)*C36/100/3</f>
        <v>0</v>
      </c>
      <c r="D49" s="302">
        <f>(D12-D45)*D36/100/4</f>
        <v>3.9784126136185282E-5</v>
      </c>
      <c r="E49" s="302">
        <f>(E12-E45)*E36/100/4</f>
        <v>7.7532631930245059E-5</v>
      </c>
      <c r="F49" s="302">
        <f>(F12-F45)*F36/100/4</f>
        <v>2.1331610299986679E-4</v>
      </c>
      <c r="G49" s="302">
        <f>(G12-G45)*G36/100/4</f>
        <v>9.9207694460207944E-4</v>
      </c>
      <c r="H49" s="34"/>
      <c r="L49" s="14"/>
      <c r="M49" s="298" t="s">
        <v>774</v>
      </c>
      <c r="N49" s="14">
        <f>C51*4</f>
        <v>0</v>
      </c>
      <c r="O49" s="311">
        <f>D51*4</f>
        <v>6.8129475913537616E-6</v>
      </c>
      <c r="P49" s="299">
        <f t="shared" ref="P49:R50" si="5">E51*4</f>
        <v>1.8772720767835189E-5</v>
      </c>
      <c r="Q49" s="299">
        <f t="shared" si="5"/>
        <v>6.6392218118952313E-5</v>
      </c>
      <c r="R49" s="300">
        <f t="shared" si="5"/>
        <v>4.7568911764596578E-4</v>
      </c>
    </row>
    <row r="50" spans="1:22" x14ac:dyDescent="0.3">
      <c r="A50" s="14" t="s">
        <v>32</v>
      </c>
      <c r="B50" s="14"/>
      <c r="C50" s="301">
        <f>($C$12-$C$45)*C37/100/6</f>
        <v>1.4593944702461731E-4</v>
      </c>
      <c r="D50" s="302">
        <f>(D12-D45)*D37/100/6</f>
        <v>1.4661702335152276E-4</v>
      </c>
      <c r="E50" s="302">
        <f>(E12-E45)*E37/100/6</f>
        <v>3.412752140427914E-4</v>
      </c>
      <c r="F50" s="302">
        <f>(F12-F45)*F37/100/6</f>
        <v>9.0927866790543475E-4</v>
      </c>
      <c r="G50" s="302">
        <f>(G12-G45)*G37/100/6</f>
        <v>3.5772349995531693E-3</v>
      </c>
      <c r="H50" s="34"/>
      <c r="L50" s="41"/>
      <c r="M50" s="298" t="s">
        <v>33</v>
      </c>
      <c r="N50" s="14">
        <f>C52*4</f>
        <v>1.2536401777508727E-4</v>
      </c>
      <c r="O50" s="311">
        <f>D52*4</f>
        <v>4.225768687681536E-5</v>
      </c>
      <c r="P50" s="299">
        <f t="shared" si="5"/>
        <v>1.2097985419042264E-4</v>
      </c>
      <c r="Q50" s="299">
        <f t="shared" si="5"/>
        <v>3.8439627690398456E-4</v>
      </c>
      <c r="R50" s="300">
        <f t="shared" si="5"/>
        <v>1.7424571527247697E-3</v>
      </c>
    </row>
    <row r="51" spans="1:22" x14ac:dyDescent="0.3">
      <c r="A51" s="14" t="s">
        <v>774</v>
      </c>
      <c r="B51" s="14"/>
      <c r="C51" s="301"/>
      <c r="D51" s="302">
        <f>(D12-D45)*D38/100/7</f>
        <v>1.7032368978384404E-6</v>
      </c>
      <c r="E51" s="302">
        <f>(E12-E45)*E38/100/7</f>
        <v>4.6931801919587973E-6</v>
      </c>
      <c r="F51" s="302">
        <f>(F12-F45)*F38/100/7</f>
        <v>1.6598054529738078E-5</v>
      </c>
      <c r="G51" s="302">
        <f>(G12-G45)*G38/100/7</f>
        <v>1.1892227941149145E-4</v>
      </c>
      <c r="H51" s="34"/>
      <c r="M51" s="298" t="s">
        <v>20</v>
      </c>
      <c r="N51" s="14">
        <f>SUM(N44:N50)</f>
        <v>7.4546866475046639E-3</v>
      </c>
      <c r="O51" s="311">
        <f>SUM(O44:O50)</f>
        <v>1.0076681669268126E-2</v>
      </c>
      <c r="P51" s="299">
        <f>SUM(P44:P50)</f>
        <v>1.6452258820686502E-2</v>
      </c>
      <c r="Q51" s="299">
        <f>SUM(Q44:Q50)</f>
        <v>3.2482679783128299E-2</v>
      </c>
      <c r="R51" s="300">
        <f>SUM(R44:R50)</f>
        <v>9.8815268839327161E-2</v>
      </c>
    </row>
    <row r="52" spans="1:22" x14ac:dyDescent="0.3">
      <c r="A52" s="14" t="s">
        <v>33</v>
      </c>
      <c r="B52" s="14"/>
      <c r="C52" s="301">
        <f>($C$12-$C$45)*C39/100/10</f>
        <v>3.1341004443771818E-5</v>
      </c>
      <c r="D52" s="302">
        <f>(D12-D45)*D39/100/10</f>
        <v>1.056442171920384E-5</v>
      </c>
      <c r="E52" s="302">
        <f>(E12-E45)*E39/100/10</f>
        <v>3.024496354760566E-5</v>
      </c>
      <c r="F52" s="302">
        <f>(F12-F45)*F39/100/10</f>
        <v>9.609906922599614E-5</v>
      </c>
      <c r="G52" s="302">
        <f>(G12-G45)*G39/100/10</f>
        <v>4.3561428818119242E-4</v>
      </c>
      <c r="H52" s="34"/>
      <c r="M52" s="303" t="s">
        <v>39</v>
      </c>
      <c r="N52" s="304">
        <f>N43-N51</f>
        <v>1.5961227405451802E-2</v>
      </c>
      <c r="O52" s="312">
        <f>O43-O51</f>
        <v>1.1087383006356472E-2</v>
      </c>
      <c r="P52" s="305">
        <f>P43-P51</f>
        <v>2.0850343223879679E-2</v>
      </c>
      <c r="Q52" s="305">
        <f>Q43-Q51</f>
        <v>4.3908096149623529E-2</v>
      </c>
      <c r="R52" s="306">
        <f>R43-R51</f>
        <v>0.14480832323370141</v>
      </c>
      <c r="S52" s="1">
        <f>O52/O43</f>
        <v>0.52387776999784941</v>
      </c>
      <c r="T52" s="1">
        <f t="shared" ref="T52:V52" si="6">P52/P43</f>
        <v>0.55895144255538387</v>
      </c>
      <c r="U52" s="1">
        <f t="shared" si="6"/>
        <v>0.5747826961238961</v>
      </c>
      <c r="V52" s="1">
        <f t="shared" si="6"/>
        <v>0.5943936792061324</v>
      </c>
    </row>
    <row r="53" spans="1:22" x14ac:dyDescent="0.3">
      <c r="A53" s="14" t="s">
        <v>72</v>
      </c>
      <c r="B53" s="14"/>
      <c r="C53" s="301">
        <f>($C$12-$C$45)*C40/100/2</f>
        <v>6.5963364252312083E-4</v>
      </c>
      <c r="D53" s="302">
        <f>(D12-D45)*D40/100</f>
        <v>3.1596139400164676E-4</v>
      </c>
      <c r="E53" s="302">
        <f>(E12-E45)*E40/100</f>
        <v>1.3875818921797753E-3</v>
      </c>
      <c r="F53" s="302">
        <f>(F12-F45)*F40/100</f>
        <v>3.0238356418937073E-3</v>
      </c>
      <c r="G53" s="302">
        <f>(G12-G45)*G40/100</f>
        <v>1.0922305751248713E-2</v>
      </c>
      <c r="H53" s="34"/>
      <c r="N53" s="31"/>
    </row>
    <row r="54" spans="1:22" x14ac:dyDescent="0.3">
      <c r="A54" s="14" t="s">
        <v>25</v>
      </c>
      <c r="B54" s="14"/>
      <c r="C54" s="307">
        <f>SUM(C44:C53)</f>
        <v>0.21969000598038838</v>
      </c>
      <c r="D54" s="308">
        <f>SUM(D44:D53)</f>
        <v>0.21986052786820473</v>
      </c>
      <c r="E54" s="308">
        <f>SUM(E44:E53)</f>
        <v>0.2791828306512848</v>
      </c>
      <c r="F54" s="308">
        <f>SUM(F44:F53)</f>
        <v>0.42565026942105766</v>
      </c>
      <c r="G54" s="308">
        <f>SUM(G44:G53)</f>
        <v>1.0434629825818211</v>
      </c>
      <c r="H54" s="34"/>
      <c r="K54" s="1" t="s">
        <v>952</v>
      </c>
      <c r="L54" s="1" t="s">
        <v>783</v>
      </c>
      <c r="M54" s="1" t="s">
        <v>784</v>
      </c>
      <c r="N54" s="1" t="s">
        <v>785</v>
      </c>
    </row>
    <row r="55" spans="1:22" ht="17.25" x14ac:dyDescent="0.3">
      <c r="A55" s="14"/>
      <c r="B55" s="14"/>
      <c r="C55" s="14"/>
      <c r="D55" s="287"/>
      <c r="E55" s="287"/>
      <c r="F55" s="287"/>
      <c r="G55" s="287"/>
      <c r="H55" s="35"/>
      <c r="J55" s="552" t="s">
        <v>954</v>
      </c>
      <c r="K55" s="287">
        <v>1230</v>
      </c>
      <c r="L55" s="287">
        <v>1230</v>
      </c>
      <c r="M55" s="287">
        <v>1230</v>
      </c>
      <c r="N55" s="287">
        <v>1230</v>
      </c>
    </row>
    <row r="56" spans="1:22" x14ac:dyDescent="0.3">
      <c r="A56" s="14" t="s">
        <v>776</v>
      </c>
      <c r="B56" s="14"/>
      <c r="C56" s="14"/>
      <c r="D56" s="287"/>
      <c r="E56" s="287"/>
      <c r="F56" s="287"/>
      <c r="G56" s="287"/>
      <c r="J56" s="553" t="s">
        <v>953</v>
      </c>
      <c r="K56" s="551">
        <v>4.5555555555555554</v>
      </c>
      <c r="L56" s="551">
        <v>3.4444444444444446</v>
      </c>
      <c r="M56" s="551">
        <v>2.3333333333333335</v>
      </c>
      <c r="N56" s="551">
        <v>1.2222222222222221</v>
      </c>
    </row>
    <row r="57" spans="1:22" x14ac:dyDescent="0.3">
      <c r="A57" s="13" t="s">
        <v>20</v>
      </c>
      <c r="B57" s="14"/>
      <c r="C57" s="15">
        <f>C44/C54*100</f>
        <v>85.297370719153903</v>
      </c>
      <c r="D57" s="309">
        <f>D44/D54*100</f>
        <v>84.963713374062451</v>
      </c>
      <c r="E57" s="309">
        <f>E44/E54*100</f>
        <v>81.82438311312184</v>
      </c>
      <c r="F57" s="309">
        <f>F44/F54*100</f>
        <v>76.390905752716392</v>
      </c>
      <c r="G57" s="309">
        <f>G44/G54*100</f>
        <v>64.704304547564774</v>
      </c>
      <c r="J57" s="552" t="s">
        <v>950</v>
      </c>
    </row>
    <row r="58" spans="1:22" x14ac:dyDescent="0.3">
      <c r="A58" s="13" t="s">
        <v>21</v>
      </c>
      <c r="B58" s="14"/>
      <c r="C58" s="15"/>
      <c r="D58" s="309"/>
      <c r="E58" s="309"/>
      <c r="F58" s="309"/>
      <c r="G58" s="309"/>
      <c r="H58" s="36"/>
      <c r="J58" s="552" t="s">
        <v>30</v>
      </c>
      <c r="K58" s="485">
        <v>6.0510439541256907E-2</v>
      </c>
      <c r="L58" s="485">
        <v>4.3923736529947896E-2</v>
      </c>
      <c r="M58" s="485">
        <v>3.5035057787311003E-2</v>
      </c>
      <c r="N58" s="485">
        <v>2.9837433773142977E-2</v>
      </c>
      <c r="P58" s="1">
        <v>2.7989396233616265E-2</v>
      </c>
      <c r="Q58" s="1">
        <v>4.161655612057405E-2</v>
      </c>
      <c r="R58" s="1">
        <v>8.2340326319338381E-2</v>
      </c>
      <c r="S58" s="1">
        <v>0.31211677539205712</v>
      </c>
    </row>
    <row r="59" spans="1:22" x14ac:dyDescent="0.3">
      <c r="A59" s="13" t="s">
        <v>22</v>
      </c>
      <c r="B59" s="14"/>
      <c r="C59" s="15">
        <f>C45/C54*100</f>
        <v>12.227898772668079</v>
      </c>
      <c r="D59" s="309">
        <f>D45/D54*100</f>
        <v>12.730523530078347</v>
      </c>
      <c r="E59" s="309">
        <f>E45/E54*100</f>
        <v>14.906559985615839</v>
      </c>
      <c r="F59" s="309">
        <f>F45/F54*100</f>
        <v>19.344596311740254</v>
      </c>
      <c r="G59" s="309">
        <f>G45/G54*100</f>
        <v>29.911628931942786</v>
      </c>
      <c r="H59" s="36"/>
      <c r="J59" s="552" t="s">
        <v>23</v>
      </c>
      <c r="K59" s="485">
        <v>0.8035998755232675</v>
      </c>
      <c r="L59" s="485">
        <v>0.74055010394680532</v>
      </c>
      <c r="M59" s="485">
        <v>0.69650583684919043</v>
      </c>
      <c r="N59" s="485">
        <v>0.63164478242236355</v>
      </c>
      <c r="P59" s="1">
        <v>3.1895803652077582E-4</v>
      </c>
      <c r="Q59" s="1">
        <v>4.0791465457306648E-4</v>
      </c>
      <c r="R59" s="1">
        <v>6.6535204130758942E-4</v>
      </c>
      <c r="S59" s="1">
        <v>1.8024751834473346E-3</v>
      </c>
    </row>
    <row r="60" spans="1:22" x14ac:dyDescent="0.3">
      <c r="A60" s="13" t="s">
        <v>30</v>
      </c>
      <c r="B60" s="14"/>
      <c r="C60" s="290">
        <f>C46/C54*100</f>
        <v>5.2846419186761792E-2</v>
      </c>
      <c r="D60" s="291">
        <f>D46/D54*100</f>
        <v>0.14507289671931245</v>
      </c>
      <c r="E60" s="291">
        <f>E46/E54*100</f>
        <v>0.14611022233046095</v>
      </c>
      <c r="F60" s="291">
        <f>F46/F54*100</f>
        <v>0.156314253533202</v>
      </c>
      <c r="G60" s="291">
        <f>G46/G54*100</f>
        <v>0.17273973428242789</v>
      </c>
      <c r="H60" s="36"/>
      <c r="J60" s="552" t="s">
        <v>24</v>
      </c>
      <c r="K60" s="485">
        <v>0</v>
      </c>
      <c r="L60" s="485">
        <v>0</v>
      </c>
      <c r="M60" s="485">
        <v>0</v>
      </c>
      <c r="N60" s="485">
        <v>2.8892479591324394E-3</v>
      </c>
      <c r="P60" s="1">
        <v>4.2358746753191597E-3</v>
      </c>
      <c r="Q60" s="1">
        <v>6.8774030560798446E-3</v>
      </c>
      <c r="R60" s="1">
        <v>1.322736737423341E-2</v>
      </c>
      <c r="S60" s="1">
        <v>3.8157572589070987E-2</v>
      </c>
    </row>
    <row r="61" spans="1:22" x14ac:dyDescent="0.3">
      <c r="A61" s="13" t="s">
        <v>23</v>
      </c>
      <c r="B61" s="14"/>
      <c r="C61" s="290">
        <f>C47/C54*100</f>
        <v>0.93745100925194269</v>
      </c>
      <c r="D61" s="291">
        <f>D47/D54*100</f>
        <v>1.9266189872237331</v>
      </c>
      <c r="E61" s="291">
        <f>E47/E54*100</f>
        <v>2.4634047301677056</v>
      </c>
      <c r="F61" s="291">
        <f>F47/F54*100</f>
        <v>3.1075670155746482</v>
      </c>
      <c r="G61" s="291">
        <f>G47/G54*100</f>
        <v>3.6568209151663833</v>
      </c>
      <c r="H61" s="32"/>
      <c r="J61" s="552" t="s">
        <v>31</v>
      </c>
      <c r="K61" s="485">
        <v>1.1321340193486103E-2</v>
      </c>
      <c r="L61" s="485">
        <v>1.2522924314677344E-2</v>
      </c>
      <c r="M61" s="485">
        <v>1.6848694070758848E-2</v>
      </c>
      <c r="N61" s="485">
        <v>2.4633651329234632E-2</v>
      </c>
      <c r="P61" s="1">
        <v>0</v>
      </c>
      <c r="Q61" s="1">
        <v>0</v>
      </c>
      <c r="R61" s="1">
        <v>0</v>
      </c>
      <c r="S61" s="1">
        <v>1.74539063404631E-4</v>
      </c>
    </row>
    <row r="62" spans="1:22" x14ac:dyDescent="0.3">
      <c r="A62" s="13" t="s">
        <v>24</v>
      </c>
      <c r="B62" s="14"/>
      <c r="C62" s="290">
        <f>C48/C54*100</f>
        <v>1.103480796426886</v>
      </c>
      <c r="D62" s="291">
        <f>D48/D54*100</f>
        <v>0</v>
      </c>
      <c r="E62" s="291">
        <f>E48/E54*100</f>
        <v>0</v>
      </c>
      <c r="F62" s="291">
        <f>F48/F54*100</f>
        <v>0</v>
      </c>
      <c r="G62" s="291">
        <f>G48/G54*100</f>
        <v>1.6726905153144216E-2</v>
      </c>
      <c r="H62" s="32"/>
      <c r="J62" s="552" t="s">
        <v>32</v>
      </c>
      <c r="K62" s="485">
        <v>8.3445402009679301E-2</v>
      </c>
      <c r="L62" s="485">
        <v>0.11024425637396726</v>
      </c>
      <c r="M62" s="485">
        <v>0.14363808343728618</v>
      </c>
      <c r="N62" s="485">
        <v>0.17764823622037204</v>
      </c>
      <c r="P62" s="1">
        <v>3.9784126136185282E-5</v>
      </c>
      <c r="Q62" s="1">
        <v>7.7532631930245059E-5</v>
      </c>
      <c r="R62" s="1">
        <v>2.1331610299986679E-4</v>
      </c>
      <c r="S62" s="1">
        <v>9.9207694460207944E-4</v>
      </c>
    </row>
    <row r="63" spans="1:22" x14ac:dyDescent="0.3">
      <c r="A63" s="13" t="s">
        <v>31</v>
      </c>
      <c r="B63" s="14"/>
      <c r="C63" s="290">
        <f>C49/C54*100</f>
        <v>0</v>
      </c>
      <c r="D63" s="291">
        <f>D49/D54*100</f>
        <v>1.809516538595498E-2</v>
      </c>
      <c r="E63" s="291">
        <f>E49/E54*100</f>
        <v>2.7771275099322892E-2</v>
      </c>
      <c r="F63" s="291">
        <f>F49/F54*100</f>
        <v>5.0115345466597669E-2</v>
      </c>
      <c r="G63" s="291">
        <f>G49/G54*100</f>
        <v>9.5075432589606754E-2</v>
      </c>
      <c r="H63" s="32"/>
      <c r="J63" s="552" t="s">
        <v>774</v>
      </c>
      <c r="K63" s="485">
        <v>1.1309407676119865E-3</v>
      </c>
      <c r="L63" s="485">
        <v>1.7687450738739121E-3</v>
      </c>
      <c r="M63" s="485">
        <v>3.0589795660988803E-3</v>
      </c>
      <c r="N63" s="485">
        <v>6.8900669703358501E-3</v>
      </c>
      <c r="P63" s="1">
        <v>1.4661702335152276E-4</v>
      </c>
      <c r="Q63" s="1">
        <v>3.412752140427914E-4</v>
      </c>
      <c r="R63" s="1">
        <v>9.0927866790543475E-4</v>
      </c>
      <c r="S63" s="1">
        <v>3.5772349995531693E-3</v>
      </c>
    </row>
    <row r="64" spans="1:22" x14ac:dyDescent="0.3">
      <c r="A64" s="13" t="s">
        <v>32</v>
      </c>
      <c r="B64" s="14"/>
      <c r="C64" s="290">
        <f>C50/C54*100</f>
        <v>6.6429715987010016E-2</v>
      </c>
      <c r="D64" s="291">
        <f>D50/D54*100</f>
        <v>6.6686378302253616E-2</v>
      </c>
      <c r="E64" s="291">
        <f>E50/E54*100</f>
        <v>0.12224076002333521</v>
      </c>
      <c r="F64" s="291">
        <f>F50/F54*100</f>
        <v>0.21362107185840096</v>
      </c>
      <c r="G64" s="291">
        <f>G50/G54*100</f>
        <v>0.34282337363823706</v>
      </c>
      <c r="H64" s="32"/>
      <c r="J64" s="552" t="s">
        <v>33</v>
      </c>
      <c r="K64" s="485">
        <v>1.0021032997025399E-2</v>
      </c>
      <c r="L64" s="485">
        <v>1.6283698015376775E-2</v>
      </c>
      <c r="M64" s="485">
        <v>2.5301165658279695E-2</v>
      </c>
      <c r="N64" s="485">
        <v>3.6054899933164374E-2</v>
      </c>
      <c r="P64" s="1">
        <v>1.7032368978384404E-6</v>
      </c>
      <c r="Q64" s="1">
        <v>4.6931801919587973E-6</v>
      </c>
      <c r="R64" s="1">
        <v>1.6598054529738078E-5</v>
      </c>
      <c r="S64" s="1">
        <v>1.1892227941149145E-4</v>
      </c>
    </row>
    <row r="65" spans="1:19" x14ac:dyDescent="0.3">
      <c r="A65" s="13" t="s">
        <v>33</v>
      </c>
      <c r="B65" s="14"/>
      <c r="C65" s="290">
        <f>C52/C54*100</f>
        <v>1.426601283199456E-2</v>
      </c>
      <c r="D65" s="291">
        <f>D52/D54*100</f>
        <v>4.8050561060858895E-3</v>
      </c>
      <c r="E65" s="291">
        <f>E52/E54*100</f>
        <v>1.0833389530813711E-2</v>
      </c>
      <c r="F65" s="291">
        <f>F52/F54*100</f>
        <v>2.2577001855702796E-2</v>
      </c>
      <c r="G65" s="291">
        <f>G52/G54*100</f>
        <v>4.1746980530479386E-2</v>
      </c>
      <c r="H65" s="32"/>
      <c r="J65" s="552" t="s">
        <v>72</v>
      </c>
      <c r="K65" s="485">
        <v>2.9970968967672582E-2</v>
      </c>
      <c r="L65" s="485">
        <v>7.4706535745351521E-2</v>
      </c>
      <c r="M65" s="485">
        <v>7.961218263107496E-2</v>
      </c>
      <c r="N65" s="485">
        <v>9.0401681392254296E-2</v>
      </c>
      <c r="P65" s="1">
        <v>1.056442171920384E-5</v>
      </c>
      <c r="Q65" s="1">
        <v>3.024496354760566E-5</v>
      </c>
      <c r="R65" s="1">
        <v>9.609906922599614E-5</v>
      </c>
      <c r="S65" s="1">
        <v>4.3561428818119242E-4</v>
      </c>
    </row>
    <row r="66" spans="1:19" x14ac:dyDescent="0.3">
      <c r="A66" s="13" t="s">
        <v>53</v>
      </c>
      <c r="B66" s="14"/>
      <c r="C66" s="14"/>
      <c r="D66" s="287"/>
      <c r="E66" s="287"/>
      <c r="F66" s="287"/>
      <c r="G66" s="287"/>
      <c r="H66" s="32"/>
      <c r="J66" s="554" t="s">
        <v>853</v>
      </c>
      <c r="K66" s="485">
        <v>0.27434898653587447</v>
      </c>
      <c r="L66" s="485">
        <v>0.30947343918454906</v>
      </c>
      <c r="M66" s="485">
        <v>0.31688025572104456</v>
      </c>
      <c r="N66" s="485">
        <v>0.28071854230637039</v>
      </c>
      <c r="P66" s="1">
        <v>3.1596139400164676E-4</v>
      </c>
      <c r="Q66" s="1">
        <v>1.3875818921797753E-3</v>
      </c>
      <c r="R66" s="1">
        <v>3.0238356418937073E-3</v>
      </c>
      <c r="S66" s="1">
        <v>1.0922305751248713E-2</v>
      </c>
    </row>
    <row r="67" spans="1:19" x14ac:dyDescent="0.3">
      <c r="A67" s="13" t="s">
        <v>72</v>
      </c>
      <c r="B67" s="14"/>
      <c r="C67" s="290">
        <f>C53/C54*100</f>
        <v>0.30025655449342836</v>
      </c>
      <c r="D67" s="291">
        <f>D53/D54*100</f>
        <v>0.14370992240637648</v>
      </c>
      <c r="E67" s="291">
        <f>E53/E54*100</f>
        <v>0.49701548227116582</v>
      </c>
      <c r="F67" s="291">
        <f>F53/F54*100</f>
        <v>0.71040378900888179</v>
      </c>
      <c r="G67" s="291">
        <f>G53/G54*100</f>
        <v>1.0467362938188622</v>
      </c>
      <c r="P67" s="1">
        <v>1.1087383006356472E-2</v>
      </c>
      <c r="Q67" s="1">
        <v>2.0850343223879679E-2</v>
      </c>
      <c r="R67" s="1">
        <v>4.3908096149623529E-2</v>
      </c>
      <c r="S67" s="1">
        <v>0.14480832323370141</v>
      </c>
    </row>
    <row r="68" spans="1:19" x14ac:dyDescent="0.3">
      <c r="A68" s="13" t="s">
        <v>25</v>
      </c>
      <c r="B68" s="14"/>
      <c r="C68" s="17">
        <f>SUM(C57:C67)</f>
        <v>100.00000000000001</v>
      </c>
      <c r="D68" s="295">
        <f>SUM(D57:D67)</f>
        <v>99.999225310284501</v>
      </c>
      <c r="E68" s="295">
        <f>SUM(E57:E67)</f>
        <v>99.998318958160496</v>
      </c>
      <c r="F68" s="295">
        <f>SUM(F57:F67)</f>
        <v>99.996100541754075</v>
      </c>
      <c r="G68" s="295">
        <f>SUM(G57:G67)</f>
        <v>99.988603114686711</v>
      </c>
      <c r="H68" s="32"/>
      <c r="P68" s="1">
        <f>SUM(P58:P67)</f>
        <v>4.4146242153919074E-2</v>
      </c>
      <c r="Q68" s="1">
        <f t="shared" ref="Q68:S68" si="7">SUM(Q58:Q67)</f>
        <v>7.1593544936999015E-2</v>
      </c>
      <c r="R68" s="1">
        <f t="shared" si="7"/>
        <v>0.14440026942105766</v>
      </c>
      <c r="S68" s="1">
        <f t="shared" si="7"/>
        <v>0.51310583972467816</v>
      </c>
    </row>
    <row r="69" spans="1:19" x14ac:dyDescent="0.3">
      <c r="H69" s="33"/>
    </row>
    <row r="70" spans="1:19" x14ac:dyDescent="0.3">
      <c r="A70" s="1" t="s">
        <v>54</v>
      </c>
      <c r="P70" s="1">
        <f>P67/P68</f>
        <v>0.25115122976264903</v>
      </c>
      <c r="Q70" s="1">
        <f t="shared" ref="Q70:S70" si="8">Q67/Q68</f>
        <v>0.29123216684168374</v>
      </c>
      <c r="R70" s="1">
        <f t="shared" si="8"/>
        <v>0.30407212067999428</v>
      </c>
      <c r="S70" s="1">
        <f t="shared" si="8"/>
        <v>0.28221920707704773</v>
      </c>
    </row>
    <row r="71" spans="1:19" ht="17.25" x14ac:dyDescent="0.3">
      <c r="A71" s="10" t="s">
        <v>777</v>
      </c>
      <c r="B71" s="8"/>
    </row>
    <row r="72" spans="1:19" x14ac:dyDescent="0.3">
      <c r="A72" s="10" t="s">
        <v>68</v>
      </c>
      <c r="B72" s="14"/>
      <c r="C72" s="14" t="s">
        <v>30</v>
      </c>
      <c r="D72" s="31">
        <f>D33*D$30/10000</f>
        <v>1.6538564856632815E-2</v>
      </c>
      <c r="E72" s="31">
        <f t="shared" ref="E72:H72" si="9">E33*E$30/10000</f>
        <v>1.3536723351758055E-2</v>
      </c>
      <c r="F72" s="31">
        <f t="shared" si="9"/>
        <v>1.1039915352066668E-2</v>
      </c>
      <c r="G72" s="31">
        <f t="shared" si="9"/>
        <v>8.3077045492222831E-3</v>
      </c>
      <c r="H72" s="31">
        <f t="shared" si="9"/>
        <v>6.9678783406343283E-3</v>
      </c>
    </row>
    <row r="73" spans="1:19" x14ac:dyDescent="0.3">
      <c r="C73" s="14" t="s">
        <v>23</v>
      </c>
      <c r="D73" s="31">
        <f t="shared" ref="D73:D79" si="10">D34*D$30/10000</f>
        <v>0.21963794612766011</v>
      </c>
      <c r="E73" s="31">
        <f t="shared" ref="E73:H73" si="11">E34*E$30/10000</f>
        <v>0.22822789400916813</v>
      </c>
      <c r="F73" s="31">
        <f t="shared" si="11"/>
        <v>0.21947631791320618</v>
      </c>
      <c r="G73" s="31">
        <f t="shared" si="11"/>
        <v>0.17587029341464813</v>
      </c>
      <c r="H73" s="31">
        <f t="shared" si="11"/>
        <v>0.13852318909160133</v>
      </c>
    </row>
    <row r="74" spans="1:19" x14ac:dyDescent="0.3">
      <c r="A74" s="1" t="s">
        <v>778</v>
      </c>
      <c r="C74" s="14" t="s">
        <v>24</v>
      </c>
      <c r="D74" s="31">
        <f t="shared" si="10"/>
        <v>0</v>
      </c>
      <c r="E74" s="31">
        <f t="shared" ref="E74:H74" si="12">E35*E$30/10000</f>
        <v>0</v>
      </c>
      <c r="F74" s="31">
        <f t="shared" si="12"/>
        <v>0</v>
      </c>
      <c r="G74" s="31">
        <f t="shared" si="12"/>
        <v>8.0445988071270241E-4</v>
      </c>
      <c r="H74" s="31">
        <f t="shared" si="12"/>
        <v>0</v>
      </c>
    </row>
    <row r="75" spans="1:19" x14ac:dyDescent="0.3">
      <c r="A75" s="10" t="s">
        <v>20</v>
      </c>
      <c r="B75" s="8"/>
      <c r="C75" s="14" t="s">
        <v>31</v>
      </c>
      <c r="D75" s="31">
        <f t="shared" si="10"/>
        <v>4.1257612289377311E-3</v>
      </c>
      <c r="E75" s="31">
        <f t="shared" ref="E75:H75" si="13">E36*E$30/10000</f>
        <v>5.1458694969999681E-3</v>
      </c>
      <c r="F75" s="31">
        <f t="shared" si="13"/>
        <v>7.0789343810326172E-3</v>
      </c>
      <c r="G75" s="31">
        <f t="shared" si="13"/>
        <v>9.1450714234924176E-3</v>
      </c>
      <c r="H75" s="31">
        <f t="shared" si="13"/>
        <v>4.4678923683174072E-3</v>
      </c>
    </row>
    <row r="76" spans="1:19" x14ac:dyDescent="0.3">
      <c r="A76" s="10" t="s">
        <v>21</v>
      </c>
      <c r="B76" s="8"/>
      <c r="C76" s="14" t="s">
        <v>32</v>
      </c>
      <c r="D76" s="31">
        <f t="shared" si="10"/>
        <v>2.2807092521347976E-2</v>
      </c>
      <c r="E76" s="31">
        <f t="shared" ref="E76:H76" si="14">E37*E$30/10000</f>
        <v>3.3975843531371223E-2</v>
      </c>
      <c r="F76" s="31">
        <f t="shared" si="14"/>
        <v>4.5261871469070528E-2</v>
      </c>
      <c r="G76" s="31">
        <f t="shared" si="14"/>
        <v>4.9463002462957401E-2</v>
      </c>
      <c r="H76" s="31">
        <f t="shared" si="14"/>
        <v>2.8567176813259942E-2</v>
      </c>
    </row>
    <row r="77" spans="1:19" x14ac:dyDescent="0.3">
      <c r="A77" s="10" t="s">
        <v>22</v>
      </c>
      <c r="B77" s="8"/>
      <c r="C77" s="14" t="s">
        <v>774</v>
      </c>
      <c r="D77" s="31">
        <f t="shared" si="10"/>
        <v>3.0910595553364277E-4</v>
      </c>
      <c r="E77" s="31">
        <f t="shared" ref="E77:H77" si="15">E38*E$30/10000</f>
        <v>5.4510418822158473E-4</v>
      </c>
      <c r="F77" s="31">
        <f t="shared" si="15"/>
        <v>9.6391664824553005E-4</v>
      </c>
      <c r="G77" s="31">
        <f t="shared" si="15"/>
        <v>1.9184170176668577E-3</v>
      </c>
      <c r="H77" s="31">
        <f t="shared" si="15"/>
        <v>6.0837911535522324E-4</v>
      </c>
    </row>
    <row r="78" spans="1:19" x14ac:dyDescent="0.3">
      <c r="A78" s="10" t="s">
        <v>30</v>
      </c>
      <c r="B78" s="8"/>
      <c r="C78" s="14" t="s">
        <v>33</v>
      </c>
      <c r="D78" s="31">
        <f t="shared" si="10"/>
        <v>2.7389241494232166E-3</v>
      </c>
      <c r="E78" s="31">
        <f t="shared" ref="E78:H78" si="16">E39*E$30/10000</f>
        <v>5.0184235812323454E-3</v>
      </c>
      <c r="F78" s="31">
        <f t="shared" si="16"/>
        <v>7.9726635209715312E-3</v>
      </c>
      <c r="G78" s="31">
        <f t="shared" si="16"/>
        <v>1.0038847793476037E-2</v>
      </c>
      <c r="H78" s="31">
        <f t="shared" si="16"/>
        <v>5.0319724104173989E-3</v>
      </c>
    </row>
    <row r="79" spans="1:19" x14ac:dyDescent="0.3">
      <c r="A79" s="10" t="s">
        <v>23</v>
      </c>
      <c r="B79" s="8"/>
      <c r="C79" s="14" t="s">
        <v>70</v>
      </c>
      <c r="D79" s="31">
        <f t="shared" si="10"/>
        <v>8.1915916963389863E-3</v>
      </c>
      <c r="E79" s="31">
        <f t="shared" ref="E79:H79" si="17">E40*E$30/10000</f>
        <v>2.3023581025797747E-2</v>
      </c>
      <c r="F79" s="31">
        <f t="shared" si="17"/>
        <v>2.5086636436451502E-2</v>
      </c>
      <c r="G79" s="31">
        <f t="shared" si="17"/>
        <v>2.5170745764194563E-2</v>
      </c>
      <c r="H79" s="31">
        <f t="shared" si="17"/>
        <v>1.583351186041438E-2</v>
      </c>
    </row>
    <row r="80" spans="1:19" x14ac:dyDescent="0.3">
      <c r="A80" s="10" t="s">
        <v>24</v>
      </c>
      <c r="B80" s="8"/>
      <c r="C80" s="31" t="s">
        <v>949</v>
      </c>
      <c r="D80" s="31">
        <f>SUM(D72:D79)</f>
        <v>0.27434898653587447</v>
      </c>
      <c r="E80" s="31">
        <f t="shared" ref="E80:H80" si="18">SUM(E72:E79)</f>
        <v>0.30947343918454906</v>
      </c>
      <c r="F80" s="31">
        <f t="shared" si="18"/>
        <v>0.3168802557210445</v>
      </c>
      <c r="G80" s="31">
        <f t="shared" si="18"/>
        <v>0.28071854230637039</v>
      </c>
      <c r="H80" s="31">
        <f t="shared" si="18"/>
        <v>0.19999999999999998</v>
      </c>
    </row>
    <row r="81" spans="1:8" x14ac:dyDescent="0.3">
      <c r="A81" s="10" t="s">
        <v>31</v>
      </c>
      <c r="B81" s="8"/>
    </row>
    <row r="82" spans="1:8" x14ac:dyDescent="0.3">
      <c r="A82" s="10" t="s">
        <v>32</v>
      </c>
      <c r="B82" s="8"/>
      <c r="C82" s="31" t="s">
        <v>951</v>
      </c>
    </row>
    <row r="83" spans="1:8" x14ac:dyDescent="0.3">
      <c r="A83" s="10" t="s">
        <v>33</v>
      </c>
      <c r="B83" s="8"/>
      <c r="C83" s="14" t="s">
        <v>30</v>
      </c>
      <c r="D83" s="550">
        <f>D72/D$80</f>
        <v>6.0282944965317727E-2</v>
      </c>
      <c r="E83" s="550">
        <f t="shared" ref="E83:H83" si="19">E72/E$80</f>
        <v>4.374114750340713E-2</v>
      </c>
      <c r="F83" s="550">
        <f t="shared" si="19"/>
        <v>3.483939170317165E-2</v>
      </c>
      <c r="G83" s="550">
        <f t="shared" si="19"/>
        <v>2.9594427503671725E-2</v>
      </c>
      <c r="H83" s="550">
        <f t="shared" si="19"/>
        <v>3.4839391703171643E-2</v>
      </c>
    </row>
    <row r="84" spans="1:8" x14ac:dyDescent="0.3">
      <c r="A84" s="10" t="s">
        <v>53</v>
      </c>
      <c r="B84" s="8"/>
      <c r="C84" s="14" t="s">
        <v>23</v>
      </c>
      <c r="D84" s="550">
        <f t="shared" ref="D84:H90" si="20">D73/D$80</f>
        <v>0.80057866770701469</v>
      </c>
      <c r="E84" s="550">
        <f t="shared" si="20"/>
        <v>0.73747166997768887</v>
      </c>
      <c r="F84" s="550">
        <f t="shared" si="20"/>
        <v>0.69261594545800675</v>
      </c>
      <c r="G84" s="550">
        <f t="shared" si="20"/>
        <v>0.62650045119822173</v>
      </c>
      <c r="H84" s="550">
        <f t="shared" si="20"/>
        <v>0.69261594545800675</v>
      </c>
    </row>
    <row r="85" spans="1:8" x14ac:dyDescent="0.3">
      <c r="A85" s="10" t="s">
        <v>25</v>
      </c>
      <c r="B85" s="8"/>
      <c r="C85" s="14" t="s">
        <v>24</v>
      </c>
      <c r="D85" s="550">
        <f t="shared" si="20"/>
        <v>0</v>
      </c>
      <c r="E85" s="550">
        <f t="shared" si="20"/>
        <v>0</v>
      </c>
      <c r="F85" s="550">
        <f t="shared" si="20"/>
        <v>0</v>
      </c>
      <c r="G85" s="550">
        <f t="shared" si="20"/>
        <v>2.8657169352024193E-3</v>
      </c>
      <c r="H85" s="550">
        <f t="shared" si="20"/>
        <v>0</v>
      </c>
    </row>
    <row r="86" spans="1:8" x14ac:dyDescent="0.3">
      <c r="C86" s="14" t="s">
        <v>31</v>
      </c>
      <c r="D86" s="550">
        <f t="shared" si="20"/>
        <v>1.5038368761745862E-2</v>
      </c>
      <c r="E86" s="550">
        <f t="shared" si="20"/>
        <v>1.6627822764238319E-2</v>
      </c>
      <c r="F86" s="550">
        <f t="shared" si="20"/>
        <v>2.2339461841587041E-2</v>
      </c>
      <c r="G86" s="550">
        <f t="shared" si="20"/>
        <v>3.257736859260147E-2</v>
      </c>
      <c r="H86" s="550">
        <f t="shared" si="20"/>
        <v>2.2339461841587038E-2</v>
      </c>
    </row>
    <row r="87" spans="1:8" x14ac:dyDescent="0.3">
      <c r="A87" s="1" t="s">
        <v>55</v>
      </c>
      <c r="C87" s="14" t="s">
        <v>32</v>
      </c>
      <c r="D87" s="550">
        <f t="shared" si="20"/>
        <v>8.3131681327955884E-2</v>
      </c>
      <c r="E87" s="550">
        <f t="shared" si="20"/>
        <v>0.10978597588502684</v>
      </c>
      <c r="F87" s="550">
        <f t="shared" si="20"/>
        <v>0.14283588406629974</v>
      </c>
      <c r="G87" s="550">
        <f t="shared" si="20"/>
        <v>0.1762014082025779</v>
      </c>
      <c r="H87" s="550">
        <f t="shared" si="20"/>
        <v>0.14283588406629971</v>
      </c>
    </row>
    <row r="88" spans="1:8" ht="17.25" x14ac:dyDescent="0.3">
      <c r="A88" s="10" t="s">
        <v>777</v>
      </c>
      <c r="C88" s="14" t="s">
        <v>774</v>
      </c>
      <c r="D88" s="550">
        <f t="shared" si="20"/>
        <v>1.1266888915342263E-3</v>
      </c>
      <c r="E88" s="550">
        <f t="shared" si="20"/>
        <v>1.7613924789730384E-3</v>
      </c>
      <c r="F88" s="550">
        <f t="shared" si="20"/>
        <v>3.0418955767761166E-3</v>
      </c>
      <c r="G88" s="550">
        <f t="shared" si="20"/>
        <v>6.8339519075057654E-3</v>
      </c>
      <c r="H88" s="550">
        <f t="shared" si="20"/>
        <v>3.0418955767761166E-3</v>
      </c>
    </row>
    <row r="89" spans="1:8" x14ac:dyDescent="0.3">
      <c r="A89" s="10" t="s">
        <v>56</v>
      </c>
      <c r="C89" s="14" t="s">
        <v>33</v>
      </c>
      <c r="D89" s="550">
        <f t="shared" si="20"/>
        <v>9.9833579996296759E-3</v>
      </c>
      <c r="E89" s="550">
        <f t="shared" si="20"/>
        <v>1.621600740424026E-2</v>
      </c>
      <c r="F89" s="550">
        <f t="shared" si="20"/>
        <v>2.5159862052086996E-2</v>
      </c>
      <c r="G89" s="550">
        <f t="shared" si="20"/>
        <v>3.5761256491991349E-2</v>
      </c>
      <c r="H89" s="550">
        <f t="shared" si="20"/>
        <v>2.5159862052086996E-2</v>
      </c>
    </row>
    <row r="90" spans="1:8" x14ac:dyDescent="0.3">
      <c r="A90" s="10" t="s">
        <v>69</v>
      </c>
      <c r="C90" s="14" t="s">
        <v>70</v>
      </c>
      <c r="D90" s="550">
        <f t="shared" si="20"/>
        <v>2.9858290346801902E-2</v>
      </c>
      <c r="E90" s="550">
        <f t="shared" si="20"/>
        <v>7.4395983986425537E-2</v>
      </c>
      <c r="F90" s="550">
        <f t="shared" si="20"/>
        <v>7.9167559302071908E-2</v>
      </c>
      <c r="G90" s="550">
        <f t="shared" si="20"/>
        <v>8.9665419168227706E-2</v>
      </c>
      <c r="H90" s="550">
        <f t="shared" si="20"/>
        <v>7.9167559302071908E-2</v>
      </c>
    </row>
    <row r="91" spans="1:8" x14ac:dyDescent="0.3">
      <c r="A91" s="2" t="s">
        <v>59</v>
      </c>
      <c r="C91" s="31" t="s">
        <v>949</v>
      </c>
      <c r="D91" s="550">
        <f>SUM(D83:D90)</f>
        <v>1</v>
      </c>
      <c r="E91" s="550">
        <f t="shared" ref="E91:H91" si="21">SUM(E83:E90)</f>
        <v>0.99999999999999989</v>
      </c>
      <c r="F91" s="550">
        <f t="shared" si="21"/>
        <v>1.0000000000000002</v>
      </c>
      <c r="G91" s="550">
        <f t="shared" si="21"/>
        <v>1.0000000000000002</v>
      </c>
      <c r="H91" s="550">
        <f t="shared" si="21"/>
        <v>1.0000000000000002</v>
      </c>
    </row>
    <row r="93" spans="1:8" x14ac:dyDescent="0.3">
      <c r="A93" s="1" t="s">
        <v>779</v>
      </c>
    </row>
    <row r="94" spans="1:8" x14ac:dyDescent="0.3">
      <c r="A94" s="10" t="s">
        <v>20</v>
      </c>
      <c r="B94" s="8"/>
    </row>
    <row r="95" spans="1:8" x14ac:dyDescent="0.3">
      <c r="A95" s="10" t="s">
        <v>21</v>
      </c>
      <c r="B95" s="8"/>
    </row>
    <row r="96" spans="1:8" x14ac:dyDescent="0.3">
      <c r="A96" s="10" t="s">
        <v>22</v>
      </c>
      <c r="B96" s="8"/>
    </row>
    <row r="97" spans="1:16" x14ac:dyDescent="0.3">
      <c r="A97" s="10" t="s">
        <v>30</v>
      </c>
      <c r="B97" s="8"/>
    </row>
    <row r="98" spans="1:16" x14ac:dyDescent="0.3">
      <c r="A98" s="10" t="s">
        <v>23</v>
      </c>
      <c r="B98" s="8"/>
    </row>
    <row r="99" spans="1:16" x14ac:dyDescent="0.3">
      <c r="A99" s="10" t="s">
        <v>24</v>
      </c>
      <c r="B99" s="8"/>
    </row>
    <row r="100" spans="1:16" x14ac:dyDescent="0.3">
      <c r="A100" s="10" t="s">
        <v>31</v>
      </c>
      <c r="B100" s="8"/>
      <c r="J100" s="1" t="s">
        <v>955</v>
      </c>
    </row>
    <row r="101" spans="1:16" x14ac:dyDescent="0.3">
      <c r="A101" s="10" t="s">
        <v>32</v>
      </c>
      <c r="B101" s="8"/>
      <c r="E101" s="31" t="s">
        <v>952</v>
      </c>
      <c r="F101" s="31" t="s">
        <v>783</v>
      </c>
      <c r="G101" s="31" t="s">
        <v>784</v>
      </c>
      <c r="H101" s="31" t="s">
        <v>785</v>
      </c>
      <c r="J101" s="1">
        <v>13186.8</v>
      </c>
      <c r="K101" s="555">
        <v>3.5999999999999998E-8</v>
      </c>
      <c r="L101" s="1">
        <v>220482.13570201001</v>
      </c>
      <c r="M101" s="1">
        <v>21743.202326060898</v>
      </c>
      <c r="N101" s="1">
        <v>5284.8718724249302</v>
      </c>
      <c r="O101" s="1">
        <v>1602.2013932482701</v>
      </c>
    </row>
    <row r="102" spans="1:16" x14ac:dyDescent="0.3">
      <c r="A102" s="10" t="s">
        <v>33</v>
      </c>
      <c r="B102" s="8"/>
      <c r="E102" s="31">
        <v>18.891043414152346</v>
      </c>
      <c r="F102" s="31">
        <v>13.111255862366386</v>
      </c>
      <c r="G102" s="31">
        <v>9.3292035062791907</v>
      </c>
      <c r="H102" s="31">
        <v>6.7396577201512367</v>
      </c>
      <c r="L102" s="1">
        <f>SUM(L101:O101)</f>
        <v>249112.41129374414</v>
      </c>
    </row>
    <row r="103" spans="1:16" x14ac:dyDescent="0.3">
      <c r="A103" s="10" t="s">
        <v>53</v>
      </c>
      <c r="B103" s="8"/>
      <c r="J103" s="1">
        <f>L102/J101</f>
        <v>18.891043414152346</v>
      </c>
    </row>
    <row r="104" spans="1:16" x14ac:dyDescent="0.3">
      <c r="A104" s="10" t="s">
        <v>25</v>
      </c>
      <c r="B104" s="8"/>
    </row>
    <row r="105" spans="1:16" x14ac:dyDescent="0.3">
      <c r="J105" s="1">
        <v>13186.8</v>
      </c>
      <c r="K105" s="555">
        <v>3.5999999999999998E-8</v>
      </c>
      <c r="L105" s="1">
        <v>147171.92292406299</v>
      </c>
      <c r="M105" s="1">
        <v>17606.909373906099</v>
      </c>
      <c r="N105" s="1">
        <v>6405.2974353703603</v>
      </c>
      <c r="O105" s="1">
        <v>1711.3790725136</v>
      </c>
      <c r="P105" s="1">
        <v>186082.30880588901</v>
      </c>
    </row>
    <row r="106" spans="1:16" x14ac:dyDescent="0.3">
      <c r="A106" s="1" t="s">
        <v>780</v>
      </c>
      <c r="L106" s="1">
        <f>SUM(L105:O105)</f>
        <v>172895.50880585305</v>
      </c>
    </row>
    <row r="107" spans="1:16" x14ac:dyDescent="0.3">
      <c r="A107" s="10" t="s">
        <v>20</v>
      </c>
      <c r="B107" s="8"/>
      <c r="J107" s="1">
        <f>L106/J105</f>
        <v>13.111255862366386</v>
      </c>
    </row>
    <row r="108" spans="1:16" x14ac:dyDescent="0.3">
      <c r="A108" s="10" t="s">
        <v>21</v>
      </c>
      <c r="B108" s="8"/>
    </row>
    <row r="109" spans="1:16" x14ac:dyDescent="0.3">
      <c r="A109" s="10" t="s">
        <v>22</v>
      </c>
      <c r="B109" s="8"/>
      <c r="J109" s="1">
        <v>13186.8</v>
      </c>
      <c r="K109" s="555">
        <v>3.5999999999999998E-8</v>
      </c>
      <c r="L109" s="1">
        <v>96572.147534617601</v>
      </c>
      <c r="M109" s="1">
        <v>15063.8052751789</v>
      </c>
      <c r="N109" s="1">
        <v>9622.8833563258104</v>
      </c>
      <c r="O109" s="1">
        <v>1763.5046304801201</v>
      </c>
      <c r="P109" s="1">
        <v>136209.14079663801</v>
      </c>
    </row>
    <row r="110" spans="1:16" x14ac:dyDescent="0.3">
      <c r="A110" s="10" t="s">
        <v>30</v>
      </c>
      <c r="B110" s="8"/>
      <c r="L110" s="1">
        <f>SUM(L109:O109)</f>
        <v>123022.34079660242</v>
      </c>
    </row>
    <row r="111" spans="1:16" x14ac:dyDescent="0.3">
      <c r="A111" s="10" t="s">
        <v>23</v>
      </c>
      <c r="B111" s="8"/>
      <c r="J111" s="1">
        <f>L110/J109</f>
        <v>9.3292035062791907</v>
      </c>
    </row>
    <row r="112" spans="1:16" x14ac:dyDescent="0.3">
      <c r="A112" s="10" t="s">
        <v>24</v>
      </c>
      <c r="B112" s="8"/>
    </row>
    <row r="113" spans="1:16" x14ac:dyDescent="0.3">
      <c r="A113" s="10" t="s">
        <v>31</v>
      </c>
      <c r="B113" s="8"/>
      <c r="J113" s="1">
        <v>13186.8</v>
      </c>
      <c r="K113" s="555">
        <v>3.5999999999999998E-8</v>
      </c>
      <c r="L113" s="1">
        <v>55814.992015429103</v>
      </c>
      <c r="M113" s="1">
        <v>12369.7649712645</v>
      </c>
      <c r="N113" s="1">
        <v>18867.123074180901</v>
      </c>
      <c r="O113" s="1">
        <v>1822.6383632158299</v>
      </c>
      <c r="P113" s="1">
        <v>102061.318424126</v>
      </c>
    </row>
    <row r="114" spans="1:16" x14ac:dyDescent="0.3">
      <c r="A114" s="10" t="s">
        <v>32</v>
      </c>
      <c r="B114" s="8"/>
      <c r="L114" s="1">
        <f>SUM(L113:O113)</f>
        <v>88874.518424090318</v>
      </c>
    </row>
    <row r="115" spans="1:16" x14ac:dyDescent="0.3">
      <c r="A115" s="10" t="s">
        <v>33</v>
      </c>
      <c r="B115" s="8"/>
      <c r="J115" s="1">
        <f>L114/J113</f>
        <v>6.7396577201512367</v>
      </c>
    </row>
    <row r="116" spans="1:16" x14ac:dyDescent="0.3">
      <c r="A116" s="10" t="s">
        <v>53</v>
      </c>
      <c r="B116" s="8"/>
    </row>
    <row r="117" spans="1:16" x14ac:dyDescent="0.3">
      <c r="A117" s="10" t="s">
        <v>25</v>
      </c>
      <c r="B117" s="8"/>
      <c r="E117" s="31">
        <v>7.0000000000000001E-3</v>
      </c>
      <c r="F117" s="31">
        <v>7.0000000000000001E-3</v>
      </c>
    </row>
    <row r="118" spans="1:16" x14ac:dyDescent="0.3">
      <c r="E118" s="31">
        <v>0.126</v>
      </c>
      <c r="F118" s="31">
        <v>0.126</v>
      </c>
    </row>
    <row r="119" spans="1:16" x14ac:dyDescent="0.3">
      <c r="E119" s="31">
        <v>5.8000000000000003E-2</v>
      </c>
      <c r="F119" s="31">
        <v>5.8000000000000003E-2</v>
      </c>
    </row>
    <row r="120" spans="1:16" x14ac:dyDescent="0.3">
      <c r="E120" s="31">
        <v>0.115</v>
      </c>
      <c r="F120" s="31">
        <v>0.115</v>
      </c>
    </row>
    <row r="121" spans="1:16" x14ac:dyDescent="0.3">
      <c r="E121" s="31">
        <v>7.0999999999999994E-2</v>
      </c>
      <c r="F121" s="31">
        <v>7.0999999999999994E-2</v>
      </c>
    </row>
    <row r="122" spans="1:16" x14ac:dyDescent="0.3">
      <c r="E122" s="31">
        <v>0.17899999999999999</v>
      </c>
      <c r="F122" s="31">
        <v>0.17899999999999999</v>
      </c>
    </row>
    <row r="123" spans="1:16" x14ac:dyDescent="0.3">
      <c r="E123" s="31">
        <v>0.22720000000000001</v>
      </c>
      <c r="F123" s="31">
        <v>0.13200000000000001</v>
      </c>
    </row>
    <row r="124" spans="1:16" x14ac:dyDescent="0.3">
      <c r="E124" s="31">
        <v>0.13200000000000001</v>
      </c>
      <c r="F124" s="31">
        <v>7.1800000000000003E-2</v>
      </c>
    </row>
    <row r="125" spans="1:16" x14ac:dyDescent="0.3">
      <c r="E125" s="31">
        <v>7.1800000000000003E-2</v>
      </c>
      <c r="F125" s="31">
        <v>1.2999999999999999E-2</v>
      </c>
    </row>
    <row r="126" spans="1:16" x14ac:dyDescent="0.3">
      <c r="E126" s="31">
        <f>SUM(E117:E125)</f>
        <v>0.9870000000000001</v>
      </c>
      <c r="F126" s="31">
        <v>0.22720000000000001</v>
      </c>
    </row>
    <row r="127" spans="1:16" x14ac:dyDescent="0.3">
      <c r="F127" s="31">
        <f>SUM(F117:F126)</f>
        <v>1</v>
      </c>
    </row>
  </sheetData>
  <mergeCells count="1">
    <mergeCell ref="O42:R42"/>
  </mergeCells>
  <phoneticPr fontId="5" type="noConversion"/>
  <pageMargins left="0.3" right="0.2" top="0.75" bottom="0.75" header="0.3" footer="0.3"/>
  <pageSetup paperSize="9" scale="3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A424-4E1A-42C4-8A5C-F499D81C2EEF}">
  <dimension ref="A1:G64"/>
  <sheetViews>
    <sheetView topLeftCell="A25" workbookViewId="0">
      <selection activeCell="J53" sqref="J53"/>
    </sheetView>
  </sheetViews>
  <sheetFormatPr defaultRowHeight="16.5" x14ac:dyDescent="0.3"/>
  <cols>
    <col min="2" max="2" width="17.5" bestFit="1" customWidth="1"/>
    <col min="5" max="5" width="15.125" bestFit="1" customWidth="1"/>
  </cols>
  <sheetData>
    <row r="1" spans="1:7" x14ac:dyDescent="0.3">
      <c r="A1" t="s">
        <v>506</v>
      </c>
    </row>
    <row r="3" spans="1:7" x14ac:dyDescent="0.3">
      <c r="A3" t="s">
        <v>507</v>
      </c>
      <c r="B3" t="s">
        <v>508</v>
      </c>
      <c r="C3" t="s">
        <v>509</v>
      </c>
      <c r="D3" t="s">
        <v>510</v>
      </c>
      <c r="E3" t="s">
        <v>511</v>
      </c>
      <c r="F3" t="s">
        <v>512</v>
      </c>
      <c r="G3" t="s">
        <v>513</v>
      </c>
    </row>
    <row r="4" spans="1:7" x14ac:dyDescent="0.3">
      <c r="D4" t="s">
        <v>514</v>
      </c>
      <c r="E4" t="s">
        <v>514</v>
      </c>
      <c r="F4" t="s">
        <v>921</v>
      </c>
      <c r="G4" t="s">
        <v>921</v>
      </c>
    </row>
    <row r="11" spans="1:7" x14ac:dyDescent="0.3">
      <c r="A11" t="s">
        <v>144</v>
      </c>
      <c r="B11" t="s">
        <v>922</v>
      </c>
      <c r="C11" t="s">
        <v>522</v>
      </c>
    </row>
    <row r="12" spans="1:7" x14ac:dyDescent="0.3">
      <c r="A12" t="s">
        <v>144</v>
      </c>
      <c r="B12" t="s">
        <v>923</v>
      </c>
      <c r="C12" t="s">
        <v>517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144</v>
      </c>
      <c r="B13" t="s">
        <v>924</v>
      </c>
      <c r="C13" t="s">
        <v>517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144</v>
      </c>
      <c r="B14" t="s">
        <v>925</v>
      </c>
      <c r="C14" t="s">
        <v>545</v>
      </c>
    </row>
    <row r="15" spans="1:7" x14ac:dyDescent="0.3">
      <c r="A15" t="s">
        <v>144</v>
      </c>
      <c r="B15" t="s">
        <v>926</v>
      </c>
      <c r="C15" t="s">
        <v>522</v>
      </c>
    </row>
    <row r="16" spans="1:7" x14ac:dyDescent="0.3">
      <c r="A16" t="s">
        <v>144</v>
      </c>
      <c r="B16" t="s">
        <v>927</v>
      </c>
      <c r="C16" t="s">
        <v>522</v>
      </c>
    </row>
    <row r="17" spans="1:7" x14ac:dyDescent="0.3">
      <c r="A17" t="s">
        <v>144</v>
      </c>
      <c r="B17" t="s">
        <v>928</v>
      </c>
      <c r="C17" t="s">
        <v>545</v>
      </c>
    </row>
    <row r="18" spans="1:7" x14ac:dyDescent="0.3">
      <c r="A18" t="s">
        <v>144</v>
      </c>
      <c r="B18" t="s">
        <v>929</v>
      </c>
      <c r="C18" t="s">
        <v>517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144</v>
      </c>
      <c r="B19" t="s">
        <v>518</v>
      </c>
      <c r="C19" t="s">
        <v>519</v>
      </c>
    </row>
    <row r="21" spans="1:7" x14ac:dyDescent="0.3">
      <c r="A21" t="s">
        <v>521</v>
      </c>
      <c r="B21" t="s">
        <v>158</v>
      </c>
      <c r="C21" t="s">
        <v>517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521</v>
      </c>
      <c r="B22" t="s">
        <v>535</v>
      </c>
      <c r="C22" t="s">
        <v>519</v>
      </c>
      <c r="D22" s="48">
        <v>449600</v>
      </c>
      <c r="E22" s="48">
        <v>165100</v>
      </c>
      <c r="F22" s="48">
        <v>77400</v>
      </c>
      <c r="G22" s="48">
        <v>123720</v>
      </c>
    </row>
    <row r="23" spans="1:7" x14ac:dyDescent="0.3">
      <c r="A23" t="s">
        <v>521</v>
      </c>
      <c r="B23" t="s">
        <v>557</v>
      </c>
      <c r="C23" t="s">
        <v>519</v>
      </c>
      <c r="D23" s="48">
        <v>827300</v>
      </c>
      <c r="E23" s="48">
        <v>465200</v>
      </c>
      <c r="F23" s="48">
        <v>201800</v>
      </c>
      <c r="G23" s="48">
        <v>260882</v>
      </c>
    </row>
    <row r="24" spans="1:7" x14ac:dyDescent="0.3">
      <c r="A24" t="s">
        <v>521</v>
      </c>
      <c r="B24" t="s">
        <v>548</v>
      </c>
      <c r="C24" t="s">
        <v>519</v>
      </c>
      <c r="D24" s="48">
        <v>812700</v>
      </c>
      <c r="E24" s="48">
        <v>583200</v>
      </c>
      <c r="F24" s="48">
        <v>245600</v>
      </c>
      <c r="G24" s="48">
        <v>284078</v>
      </c>
    </row>
    <row r="25" spans="1:7" x14ac:dyDescent="0.3">
      <c r="A25" t="s">
        <v>521</v>
      </c>
      <c r="B25" t="s">
        <v>549</v>
      </c>
      <c r="C25" t="s">
        <v>519</v>
      </c>
      <c r="D25" s="48">
        <v>879100</v>
      </c>
      <c r="E25" s="48">
        <v>674200</v>
      </c>
      <c r="F25" s="48">
        <v>288900</v>
      </c>
      <c r="G25" s="48">
        <v>324361</v>
      </c>
    </row>
    <row r="26" spans="1:7" x14ac:dyDescent="0.3">
      <c r="A26" t="s">
        <v>521</v>
      </c>
      <c r="B26" t="s">
        <v>546</v>
      </c>
      <c r="C26" t="s">
        <v>519</v>
      </c>
      <c r="D26" s="48">
        <v>3166900</v>
      </c>
      <c r="E26" s="48">
        <v>2366000</v>
      </c>
      <c r="F26" s="48">
        <v>1062700</v>
      </c>
      <c r="G26" s="48">
        <v>1216094</v>
      </c>
    </row>
    <row r="27" spans="1:7" x14ac:dyDescent="0.3">
      <c r="A27" t="s">
        <v>521</v>
      </c>
      <c r="B27" t="s">
        <v>538</v>
      </c>
      <c r="C27" t="s">
        <v>517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521</v>
      </c>
      <c r="B28" t="s">
        <v>539</v>
      </c>
      <c r="C28" t="s">
        <v>522</v>
      </c>
      <c r="D28" s="48">
        <v>897800</v>
      </c>
      <c r="E28" s="48">
        <v>785600</v>
      </c>
      <c r="F28" s="48">
        <v>251000</v>
      </c>
      <c r="G28" s="48">
        <v>267561</v>
      </c>
    </row>
    <row r="29" spans="1:7" x14ac:dyDescent="0.3">
      <c r="A29" t="s">
        <v>521</v>
      </c>
      <c r="B29" t="s">
        <v>540</v>
      </c>
      <c r="C29" t="s">
        <v>526</v>
      </c>
      <c r="D29" s="48">
        <v>348500</v>
      </c>
      <c r="E29" s="48">
        <v>58600</v>
      </c>
      <c r="F29" s="48">
        <v>17500</v>
      </c>
      <c r="G29" s="48">
        <v>60908</v>
      </c>
    </row>
    <row r="30" spans="1:7" x14ac:dyDescent="0.3">
      <c r="A30" t="s">
        <v>521</v>
      </c>
      <c r="B30" t="s">
        <v>541</v>
      </c>
      <c r="C30" t="s">
        <v>517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521</v>
      </c>
      <c r="B31" t="s">
        <v>542</v>
      </c>
      <c r="C31" t="s">
        <v>529</v>
      </c>
      <c r="D31" s="48">
        <v>955000</v>
      </c>
      <c r="E31" s="48">
        <v>777800</v>
      </c>
      <c r="F31" s="48">
        <v>224700</v>
      </c>
      <c r="G31" s="48">
        <v>251939</v>
      </c>
    </row>
    <row r="32" spans="1:7" x14ac:dyDescent="0.3">
      <c r="A32" t="s">
        <v>521</v>
      </c>
      <c r="B32" t="s">
        <v>543</v>
      </c>
      <c r="C32" t="s">
        <v>531</v>
      </c>
      <c r="D32" s="48">
        <v>116200</v>
      </c>
      <c r="E32" s="48">
        <v>33900</v>
      </c>
      <c r="F32" s="48">
        <v>2500</v>
      </c>
      <c r="G32" s="48">
        <v>15774</v>
      </c>
    </row>
    <row r="33" spans="1:7" x14ac:dyDescent="0.3">
      <c r="A33" t="s">
        <v>521</v>
      </c>
      <c r="B33" t="s">
        <v>544</v>
      </c>
      <c r="C33" t="s">
        <v>533</v>
      </c>
      <c r="D33" s="48">
        <v>6148500</v>
      </c>
      <c r="E33" s="48">
        <v>3954700</v>
      </c>
      <c r="F33" s="48">
        <v>1608400</v>
      </c>
      <c r="G33" s="48">
        <v>1959453</v>
      </c>
    </row>
    <row r="34" spans="1:7" x14ac:dyDescent="0.3">
      <c r="A34" t="s">
        <v>521</v>
      </c>
      <c r="B34" t="s">
        <v>550</v>
      </c>
      <c r="C34" t="s">
        <v>517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521</v>
      </c>
      <c r="B35" t="s">
        <v>551</v>
      </c>
      <c r="C35" t="s">
        <v>522</v>
      </c>
      <c r="D35" s="48">
        <v>160000</v>
      </c>
      <c r="E35" s="48">
        <v>123900</v>
      </c>
      <c r="F35" s="48">
        <v>33700</v>
      </c>
      <c r="G35" s="48">
        <v>38194</v>
      </c>
    </row>
    <row r="36" spans="1:7" x14ac:dyDescent="0.3">
      <c r="A36" t="s">
        <v>521</v>
      </c>
      <c r="B36" t="s">
        <v>552</v>
      </c>
      <c r="C36" t="s">
        <v>526</v>
      </c>
      <c r="D36" s="48">
        <v>201300</v>
      </c>
      <c r="E36" s="48">
        <v>34700</v>
      </c>
      <c r="F36" s="48">
        <v>10800</v>
      </c>
      <c r="G36" s="48">
        <v>32054</v>
      </c>
    </row>
    <row r="37" spans="1:7" x14ac:dyDescent="0.3">
      <c r="A37" t="s">
        <v>521</v>
      </c>
      <c r="B37" t="s">
        <v>553</v>
      </c>
      <c r="C37" t="s">
        <v>517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521</v>
      </c>
      <c r="B38" t="s">
        <v>554</v>
      </c>
      <c r="C38" t="s">
        <v>529</v>
      </c>
      <c r="D38" s="48">
        <v>1503700</v>
      </c>
      <c r="E38" s="48">
        <v>1331400</v>
      </c>
      <c r="F38" s="48">
        <v>365400</v>
      </c>
      <c r="G38" s="48">
        <v>392830</v>
      </c>
    </row>
    <row r="39" spans="1:7" x14ac:dyDescent="0.3">
      <c r="A39" t="s">
        <v>521</v>
      </c>
      <c r="B39" t="s">
        <v>555</v>
      </c>
      <c r="C39" t="s">
        <v>531</v>
      </c>
      <c r="D39" s="48">
        <v>63500</v>
      </c>
      <c r="E39" s="48">
        <v>10000</v>
      </c>
      <c r="F39">
        <v>740</v>
      </c>
      <c r="G39" s="48">
        <v>7162</v>
      </c>
    </row>
    <row r="40" spans="1:7" x14ac:dyDescent="0.3">
      <c r="A40" t="s">
        <v>521</v>
      </c>
      <c r="B40" t="s">
        <v>556</v>
      </c>
      <c r="C40" t="s">
        <v>533</v>
      </c>
      <c r="D40" s="48">
        <v>1913800</v>
      </c>
      <c r="E40" s="48">
        <v>1126100</v>
      </c>
      <c r="F40" s="48">
        <v>461800</v>
      </c>
      <c r="G40" s="48">
        <v>591270</v>
      </c>
    </row>
    <row r="41" spans="1:7" x14ac:dyDescent="0.3">
      <c r="A41" t="s">
        <v>521</v>
      </c>
      <c r="B41" t="s">
        <v>523</v>
      </c>
      <c r="C41" t="s">
        <v>517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521</v>
      </c>
      <c r="B42" t="s">
        <v>524</v>
      </c>
      <c r="C42" t="s">
        <v>522</v>
      </c>
      <c r="D42" s="48">
        <v>23900</v>
      </c>
      <c r="E42" s="48">
        <v>11000</v>
      </c>
      <c r="F42" s="48">
        <v>1000</v>
      </c>
      <c r="G42" s="48">
        <v>2100</v>
      </c>
    </row>
    <row r="43" spans="1:7" x14ac:dyDescent="0.3">
      <c r="A43" t="s">
        <v>521</v>
      </c>
      <c r="B43" t="s">
        <v>525</v>
      </c>
      <c r="C43" t="s">
        <v>526</v>
      </c>
      <c r="D43" s="48">
        <v>79700</v>
      </c>
      <c r="E43" s="48">
        <v>17600</v>
      </c>
      <c r="F43" s="48">
        <v>4000</v>
      </c>
      <c r="G43" s="48">
        <v>8328</v>
      </c>
    </row>
    <row r="44" spans="1:7" x14ac:dyDescent="0.3">
      <c r="A44" t="s">
        <v>521</v>
      </c>
      <c r="B44" t="s">
        <v>527</v>
      </c>
      <c r="C44" t="s">
        <v>517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521</v>
      </c>
      <c r="B45" t="s">
        <v>528</v>
      </c>
      <c r="C45" t="s">
        <v>529</v>
      </c>
      <c r="D45" s="48">
        <v>216300</v>
      </c>
      <c r="E45" s="48">
        <v>120800</v>
      </c>
      <c r="F45" s="48">
        <v>32800</v>
      </c>
      <c r="G45" s="48">
        <v>48571</v>
      </c>
    </row>
    <row r="46" spans="1:7" x14ac:dyDescent="0.3">
      <c r="A46" t="s">
        <v>521</v>
      </c>
      <c r="B46" t="s">
        <v>530</v>
      </c>
      <c r="C46" t="s">
        <v>531</v>
      </c>
      <c r="D46" s="48">
        <v>27800</v>
      </c>
      <c r="E46" s="48">
        <v>4800</v>
      </c>
      <c r="F46">
        <v>210</v>
      </c>
      <c r="G46" s="48">
        <v>1706</v>
      </c>
    </row>
    <row r="47" spans="1:7" x14ac:dyDescent="0.3">
      <c r="A47" t="s">
        <v>521</v>
      </c>
      <c r="B47" t="s">
        <v>532</v>
      </c>
      <c r="C47" t="s">
        <v>533</v>
      </c>
      <c r="D47" s="48">
        <v>359100</v>
      </c>
      <c r="E47" s="48">
        <v>158600</v>
      </c>
      <c r="F47" s="48">
        <v>56300</v>
      </c>
      <c r="G47" s="48">
        <v>83523</v>
      </c>
    </row>
    <row r="48" spans="1:7" x14ac:dyDescent="0.3">
      <c r="A48" t="s">
        <v>521</v>
      </c>
      <c r="B48" t="s">
        <v>789</v>
      </c>
      <c r="C48" t="s">
        <v>534</v>
      </c>
    </row>
    <row r="49" spans="1:7" x14ac:dyDescent="0.3">
      <c r="A49" t="s">
        <v>521</v>
      </c>
      <c r="B49" t="s">
        <v>788</v>
      </c>
      <c r="C49" t="s">
        <v>534</v>
      </c>
    </row>
    <row r="50" spans="1:7" x14ac:dyDescent="0.3">
      <c r="A50" t="s">
        <v>521</v>
      </c>
      <c r="B50" t="s">
        <v>160</v>
      </c>
      <c r="C50" t="s">
        <v>517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521</v>
      </c>
      <c r="B51" t="s">
        <v>159</v>
      </c>
      <c r="C51" t="s">
        <v>517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521</v>
      </c>
      <c r="B52" t="s">
        <v>157</v>
      </c>
      <c r="C52" t="s">
        <v>517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521</v>
      </c>
      <c r="B53" t="s">
        <v>140</v>
      </c>
      <c r="C53" t="s">
        <v>517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521</v>
      </c>
      <c r="B54" t="s">
        <v>141</v>
      </c>
      <c r="C54" t="s">
        <v>522</v>
      </c>
    </row>
    <row r="55" spans="1:7" x14ac:dyDescent="0.3">
      <c r="A55" t="s">
        <v>521</v>
      </c>
      <c r="B55" t="s">
        <v>930</v>
      </c>
      <c r="C55" t="s">
        <v>522</v>
      </c>
      <c r="D55" s="48">
        <v>799000</v>
      </c>
      <c r="E55" s="48">
        <v>770000</v>
      </c>
      <c r="F55" s="48">
        <v>245500</v>
      </c>
      <c r="G55" s="48">
        <v>249322</v>
      </c>
    </row>
    <row r="56" spans="1:7" x14ac:dyDescent="0.3">
      <c r="A56" t="s">
        <v>521</v>
      </c>
      <c r="B56" t="s">
        <v>931</v>
      </c>
      <c r="C56" t="s">
        <v>522</v>
      </c>
      <c r="D56" s="48">
        <v>667300</v>
      </c>
      <c r="E56" s="48">
        <v>646300</v>
      </c>
      <c r="F56" s="48">
        <v>180000</v>
      </c>
      <c r="G56" s="48">
        <v>182261</v>
      </c>
    </row>
    <row r="57" spans="1:7" x14ac:dyDescent="0.3">
      <c r="A57" t="s">
        <v>521</v>
      </c>
      <c r="B57" t="s">
        <v>162</v>
      </c>
      <c r="C57" t="s">
        <v>522</v>
      </c>
      <c r="D57" s="48">
        <v>1435300</v>
      </c>
      <c r="E57" s="48">
        <v>1316700</v>
      </c>
      <c r="F57" s="48">
        <v>373600</v>
      </c>
      <c r="G57" s="48">
        <v>391318</v>
      </c>
    </row>
    <row r="58" spans="1:7" x14ac:dyDescent="0.3">
      <c r="A58" t="s">
        <v>521</v>
      </c>
      <c r="B58" t="s">
        <v>932</v>
      </c>
      <c r="C58" t="s">
        <v>522</v>
      </c>
      <c r="D58" s="48">
        <v>1191300</v>
      </c>
      <c r="E58" s="48">
        <v>1112400</v>
      </c>
      <c r="F58" s="48">
        <v>314800</v>
      </c>
      <c r="G58" s="48">
        <v>327046</v>
      </c>
    </row>
    <row r="59" spans="1:7" x14ac:dyDescent="0.3">
      <c r="A59" t="s">
        <v>521</v>
      </c>
      <c r="B59" t="s">
        <v>933</v>
      </c>
      <c r="C59" t="s">
        <v>522</v>
      </c>
      <c r="D59" s="48">
        <v>970300</v>
      </c>
      <c r="E59" s="48">
        <v>949000</v>
      </c>
      <c r="F59" s="48">
        <v>272400</v>
      </c>
      <c r="G59" s="48">
        <v>274711</v>
      </c>
    </row>
    <row r="60" spans="1:7" x14ac:dyDescent="0.3">
      <c r="A60" t="s">
        <v>521</v>
      </c>
      <c r="B60" t="s">
        <v>150</v>
      </c>
      <c r="C60" t="s">
        <v>522</v>
      </c>
      <c r="D60" s="48">
        <v>252900</v>
      </c>
      <c r="E60" s="48">
        <v>236100</v>
      </c>
      <c r="F60" s="48">
        <v>66900</v>
      </c>
      <c r="G60" s="48">
        <v>68962</v>
      </c>
    </row>
    <row r="61" spans="1:7" x14ac:dyDescent="0.3">
      <c r="A61" t="s">
        <v>521</v>
      </c>
      <c r="B61" t="s">
        <v>147</v>
      </c>
      <c r="C61" t="s">
        <v>522</v>
      </c>
    </row>
    <row r="62" spans="1:7" x14ac:dyDescent="0.3">
      <c r="A62" t="s">
        <v>521</v>
      </c>
      <c r="B62" t="s">
        <v>145</v>
      </c>
      <c r="C62" t="s">
        <v>522</v>
      </c>
      <c r="D62" s="48">
        <v>17682200</v>
      </c>
      <c r="E62" s="48">
        <v>7976800</v>
      </c>
      <c r="F62" s="48">
        <v>1048800</v>
      </c>
      <c r="G62" s="48">
        <v>1675328</v>
      </c>
    </row>
    <row r="63" spans="1:7" x14ac:dyDescent="0.3">
      <c r="A63" t="s">
        <v>521</v>
      </c>
      <c r="B63" t="s">
        <v>934</v>
      </c>
      <c r="C63" t="s">
        <v>522</v>
      </c>
      <c r="D63" s="48">
        <v>3472500</v>
      </c>
      <c r="E63" s="48">
        <v>3419400</v>
      </c>
      <c r="F63" s="48">
        <v>981200</v>
      </c>
      <c r="G63" s="48">
        <v>988913</v>
      </c>
    </row>
    <row r="64" spans="1:7" x14ac:dyDescent="0.3">
      <c r="A64" t="s">
        <v>521</v>
      </c>
      <c r="B64" t="s">
        <v>565</v>
      </c>
      <c r="C64" t="s">
        <v>517</v>
      </c>
      <c r="D64">
        <v>0</v>
      </c>
      <c r="E64">
        <v>0</v>
      </c>
      <c r="F64">
        <v>0</v>
      </c>
      <c r="G64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17F0-F249-4B70-BC8F-BDE77AC3A713}">
  <sheetPr>
    <pageSetUpPr fitToPage="1"/>
  </sheetPr>
  <dimension ref="A1:AJ168"/>
  <sheetViews>
    <sheetView topLeftCell="A40" zoomScale="70" zoomScaleNormal="70" workbookViewId="0">
      <selection activeCell="G139" sqref="G139"/>
    </sheetView>
  </sheetViews>
  <sheetFormatPr defaultColWidth="9.125" defaultRowHeight="16.5" x14ac:dyDescent="0.3"/>
  <cols>
    <col min="1" max="1" width="5.5" style="352" customWidth="1"/>
    <col min="2" max="2" width="26.25" style="352" customWidth="1"/>
    <col min="3" max="3" width="14.25" style="352" customWidth="1"/>
    <col min="4" max="4" width="14.5" style="352" customWidth="1"/>
    <col min="5" max="5" width="19.875" style="353" customWidth="1"/>
    <col min="6" max="6" width="18.5" style="353" bestFit="1" customWidth="1"/>
    <col min="7" max="7" width="18.875" style="352" bestFit="1" customWidth="1"/>
    <col min="8" max="8" width="18.5" style="352" bestFit="1" customWidth="1"/>
    <col min="9" max="9" width="17.875" style="352" customWidth="1"/>
    <col min="10" max="10" width="7.875" style="352" customWidth="1"/>
    <col min="11" max="11" width="31" style="352" bestFit="1" customWidth="1"/>
    <col min="12" max="12" width="12.5" style="352" bestFit="1" customWidth="1"/>
    <col min="13" max="13" width="13" style="352" customWidth="1"/>
    <col min="14" max="14" width="14.125" style="352" customWidth="1"/>
    <col min="15" max="15" width="12.125" style="352" customWidth="1"/>
    <col min="16" max="16" width="12.875" style="352" bestFit="1" customWidth="1"/>
    <col min="17" max="17" width="16.25" style="352" customWidth="1"/>
    <col min="18" max="20" width="16.5" style="352" bestFit="1" customWidth="1"/>
    <col min="21" max="21" width="3.5" style="352" customWidth="1"/>
    <col min="22" max="22" width="9.5" style="352" bestFit="1" customWidth="1"/>
    <col min="23" max="30" width="9.125" style="352"/>
    <col min="31" max="31" width="39.875" style="352" bestFit="1" customWidth="1"/>
    <col min="32" max="32" width="14.875" style="352" customWidth="1"/>
    <col min="33" max="33" width="10" style="352" bestFit="1" customWidth="1"/>
    <col min="34" max="16384" width="9.125" style="352"/>
  </cols>
  <sheetData>
    <row r="1" spans="1:16" ht="20.25" x14ac:dyDescent="0.3">
      <c r="A1" s="45" t="s">
        <v>727</v>
      </c>
    </row>
    <row r="2" spans="1:16" ht="17.25" thickBot="1" x14ac:dyDescent="0.35"/>
    <row r="3" spans="1:16" ht="21" thickBot="1" x14ac:dyDescent="0.35">
      <c r="B3" s="561" t="s">
        <v>725</v>
      </c>
      <c r="C3" s="562"/>
      <c r="D3" s="562"/>
      <c r="E3" s="563"/>
      <c r="F3" s="341"/>
    </row>
    <row r="4" spans="1:16" x14ac:dyDescent="0.3">
      <c r="B4" s="354" t="s">
        <v>716</v>
      </c>
      <c r="C4" s="355"/>
      <c r="D4" s="355"/>
      <c r="E4" s="356" t="s">
        <v>194</v>
      </c>
      <c r="F4" s="357"/>
      <c r="J4" s="415"/>
    </row>
    <row r="5" spans="1:16" x14ac:dyDescent="0.3">
      <c r="B5" s="358" t="s">
        <v>719</v>
      </c>
      <c r="C5" s="359"/>
      <c r="D5" s="359"/>
      <c r="E5" s="360" t="s">
        <v>227</v>
      </c>
      <c r="F5" s="357"/>
      <c r="J5" s="415"/>
    </row>
    <row r="6" spans="1:16" x14ac:dyDescent="0.3">
      <c r="B6" s="358" t="s">
        <v>720</v>
      </c>
      <c r="C6" s="359"/>
      <c r="D6" s="359"/>
      <c r="E6" s="360" t="s">
        <v>233</v>
      </c>
      <c r="F6" s="357"/>
      <c r="J6" s="415"/>
    </row>
    <row r="7" spans="1:16" x14ac:dyDescent="0.3">
      <c r="B7" s="362" t="s">
        <v>721</v>
      </c>
      <c r="C7" s="359"/>
      <c r="D7" s="359"/>
      <c r="E7" s="360">
        <v>30</v>
      </c>
      <c r="F7" s="357"/>
    </row>
    <row r="8" spans="1:16" x14ac:dyDescent="0.3">
      <c r="B8" s="362" t="s">
        <v>722</v>
      </c>
      <c r="C8" s="359"/>
      <c r="D8" s="359"/>
      <c r="E8" s="360">
        <v>8000</v>
      </c>
      <c r="F8" s="357"/>
    </row>
    <row r="9" spans="1:16" x14ac:dyDescent="0.3">
      <c r="B9" s="362" t="s">
        <v>718</v>
      </c>
      <c r="C9" s="359"/>
      <c r="D9" s="359"/>
      <c r="E9" s="360" t="s">
        <v>726</v>
      </c>
      <c r="F9" s="357"/>
    </row>
    <row r="10" spans="1:16" x14ac:dyDescent="0.3">
      <c r="B10" s="362" t="s">
        <v>723</v>
      </c>
      <c r="C10" s="359"/>
      <c r="D10" s="359"/>
      <c r="E10" s="363">
        <v>0.08</v>
      </c>
      <c r="F10" s="364"/>
    </row>
    <row r="11" spans="1:16" x14ac:dyDescent="0.3">
      <c r="B11" s="362" t="s">
        <v>724</v>
      </c>
      <c r="C11" s="359"/>
      <c r="D11" s="359"/>
      <c r="E11" s="363">
        <v>0.35</v>
      </c>
      <c r="F11" s="364"/>
    </row>
    <row r="12" spans="1:16" x14ac:dyDescent="0.3">
      <c r="B12" s="362" t="s">
        <v>827</v>
      </c>
      <c r="C12" s="359"/>
      <c r="D12" s="359"/>
      <c r="E12" s="363">
        <v>0.15</v>
      </c>
      <c r="F12" s="364"/>
    </row>
    <row r="13" spans="1:16" x14ac:dyDescent="0.3">
      <c r="B13" s="362" t="s">
        <v>828</v>
      </c>
      <c r="C13" s="359"/>
      <c r="D13" s="359"/>
      <c r="E13" s="363">
        <v>0.25</v>
      </c>
      <c r="F13" s="364"/>
    </row>
    <row r="14" spans="1:16" ht="17.25" thickBot="1" x14ac:dyDescent="0.35">
      <c r="B14" s="362" t="s">
        <v>829</v>
      </c>
      <c r="C14" s="359"/>
      <c r="D14" s="359"/>
      <c r="E14" s="363">
        <v>0.06</v>
      </c>
      <c r="F14" s="364"/>
    </row>
    <row r="15" spans="1:16" ht="17.25" thickBot="1" x14ac:dyDescent="0.35">
      <c r="B15" s="365" t="s">
        <v>820</v>
      </c>
      <c r="C15" s="366"/>
      <c r="D15" s="366"/>
      <c r="E15" s="335">
        <f>E10*POWER(1+E10,E7)/(POWER(1+E10,E7)-1)</f>
        <v>8.8827433387272267E-2</v>
      </c>
      <c r="F15" s="342"/>
      <c r="P15" s="361"/>
    </row>
    <row r="16" spans="1:16" x14ac:dyDescent="0.3">
      <c r="F16" s="367"/>
      <c r="P16" s="361"/>
    </row>
    <row r="18" spans="1:36" ht="20.25" x14ac:dyDescent="0.3">
      <c r="A18" s="45" t="s">
        <v>848</v>
      </c>
    </row>
    <row r="19" spans="1:36" ht="17.25" thickBot="1" x14ac:dyDescent="0.35"/>
    <row r="20" spans="1:36" ht="21" thickBot="1" x14ac:dyDescent="0.35">
      <c r="B20" s="345"/>
      <c r="C20" s="346"/>
      <c r="D20" s="346"/>
      <c r="E20" s="454" t="s">
        <v>781</v>
      </c>
      <c r="F20" s="454" t="s">
        <v>782</v>
      </c>
      <c r="G20" s="454" t="s">
        <v>783</v>
      </c>
      <c r="H20" s="454" t="s">
        <v>784</v>
      </c>
      <c r="I20" s="455" t="s">
        <v>785</v>
      </c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</row>
    <row r="21" spans="1:36" x14ac:dyDescent="0.3">
      <c r="B21" s="218" t="s">
        <v>812</v>
      </c>
      <c r="C21" s="233"/>
      <c r="D21" s="347">
        <f t="shared" ref="D21:I21" si="0">SUBTOTAL(9,D22:D36)</f>
        <v>5.0400000000000009</v>
      </c>
      <c r="E21" s="408">
        <f t="shared" si="0"/>
        <v>2529829068.224349</v>
      </c>
      <c r="F21" s="408">
        <f t="shared" si="0"/>
        <v>3095930522.1063867</v>
      </c>
      <c r="G21" s="408">
        <f t="shared" si="0"/>
        <v>2273902164.1687799</v>
      </c>
      <c r="H21" s="408">
        <f t="shared" si="0"/>
        <v>1975128666.8682957</v>
      </c>
      <c r="I21" s="409">
        <f t="shared" si="0"/>
        <v>1792108654.9168334</v>
      </c>
      <c r="J21" s="368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334"/>
      <c r="AI21" s="369"/>
      <c r="AJ21" s="368"/>
    </row>
    <row r="22" spans="1:36" x14ac:dyDescent="0.3">
      <c r="B22" s="326" t="s">
        <v>813</v>
      </c>
      <c r="C22" s="416"/>
      <c r="D22" s="417">
        <f t="shared" ref="D22:I22" si="1">SUBTOTAL(9,D23:D30)</f>
        <v>3.6000000000000005</v>
      </c>
      <c r="E22" s="418">
        <f t="shared" si="1"/>
        <v>1807020763.0173922</v>
      </c>
      <c r="F22" s="418">
        <f t="shared" si="1"/>
        <v>2211378944.3617043</v>
      </c>
      <c r="G22" s="418">
        <f t="shared" si="1"/>
        <v>1624215831.5491285</v>
      </c>
      <c r="H22" s="418">
        <f t="shared" si="1"/>
        <v>1410806190.6202111</v>
      </c>
      <c r="I22" s="419">
        <f t="shared" si="1"/>
        <v>1280077610.6548808</v>
      </c>
      <c r="J22" s="368"/>
      <c r="K22" s="43"/>
      <c r="L22" s="43"/>
      <c r="M22" s="43"/>
      <c r="N22" s="43"/>
      <c r="O22" s="43"/>
      <c r="P22" s="43"/>
      <c r="Q22" s="43"/>
      <c r="R22" s="43"/>
      <c r="S22" s="43"/>
      <c r="T22" s="46"/>
      <c r="U22" s="46"/>
      <c r="V22" s="46"/>
      <c r="W22" s="371"/>
      <c r="AI22" s="369"/>
      <c r="AJ22" s="368"/>
    </row>
    <row r="23" spans="1:36" x14ac:dyDescent="0.3">
      <c r="B23" s="222" t="s">
        <v>608</v>
      </c>
      <c r="C23" s="340"/>
      <c r="D23" s="370">
        <v>1</v>
      </c>
      <c r="E23" s="404">
        <v>501950211.94927573</v>
      </c>
      <c r="F23" s="404">
        <v>614271928.98936224</v>
      </c>
      <c r="G23" s="404">
        <v>451171064.3192023</v>
      </c>
      <c r="H23" s="404">
        <v>391890608.50561422</v>
      </c>
      <c r="I23" s="405">
        <v>355577114.07080019</v>
      </c>
      <c r="J23" s="368"/>
      <c r="K23" s="372"/>
      <c r="R23" s="373"/>
      <c r="T23" s="373"/>
      <c r="U23" s="373"/>
      <c r="V23" s="373"/>
      <c r="W23" s="371"/>
      <c r="AI23" s="369"/>
      <c r="AJ23" s="368"/>
    </row>
    <row r="24" spans="1:36" x14ac:dyDescent="0.3">
      <c r="B24" s="222" t="s">
        <v>631</v>
      </c>
      <c r="C24" s="340"/>
      <c r="D24" s="370">
        <v>0.47</v>
      </c>
      <c r="E24" s="402">
        <f>$D24*E$23/$D$23</f>
        <v>235916599.61615959</v>
      </c>
      <c r="F24" s="402">
        <f>$D24*F$23/$D$23</f>
        <v>288707806.62500024</v>
      </c>
      <c r="G24" s="402">
        <f>$D24*G$23/$D$23</f>
        <v>212050400.23002508</v>
      </c>
      <c r="H24" s="402">
        <f>$D24*H$23/$D$23</f>
        <v>184188585.99763867</v>
      </c>
      <c r="I24" s="403">
        <f>$D24*I$23/$D$23</f>
        <v>167121243.61327606</v>
      </c>
      <c r="J24" s="368"/>
      <c r="K24" s="43"/>
      <c r="L24" s="43"/>
      <c r="M24" s="43"/>
      <c r="N24" s="43"/>
      <c r="O24" s="43"/>
      <c r="P24" s="43"/>
      <c r="Q24" s="43"/>
      <c r="R24" s="46"/>
      <c r="S24" s="43"/>
      <c r="T24" s="46"/>
      <c r="U24" s="46"/>
      <c r="V24" s="46"/>
      <c r="W24" s="371"/>
      <c r="AI24" s="369"/>
      <c r="AJ24" s="368"/>
    </row>
    <row r="25" spans="1:36" x14ac:dyDescent="0.3">
      <c r="B25" s="222" t="s">
        <v>632</v>
      </c>
      <c r="C25" s="340"/>
      <c r="D25" s="370">
        <v>0.36</v>
      </c>
      <c r="E25" s="402">
        <f t="shared" ref="E25:I30" si="2">$D25*E$23/$D$23</f>
        <v>180702076.30173925</v>
      </c>
      <c r="F25" s="402">
        <f t="shared" si="2"/>
        <v>221137894.4361704</v>
      </c>
      <c r="G25" s="402">
        <f t="shared" si="2"/>
        <v>162421583.15491283</v>
      </c>
      <c r="H25" s="402">
        <f t="shared" si="2"/>
        <v>141080619.06202111</v>
      </c>
      <c r="I25" s="403">
        <f t="shared" si="2"/>
        <v>128007761.06548806</v>
      </c>
      <c r="J25" s="368"/>
      <c r="K25" s="372"/>
      <c r="R25" s="373"/>
      <c r="T25" s="373"/>
      <c r="U25" s="373"/>
      <c r="V25" s="373"/>
      <c r="W25" s="371"/>
      <c r="Y25" s="374"/>
      <c r="AI25" s="369"/>
      <c r="AJ25" s="368"/>
    </row>
    <row r="26" spans="1:36" x14ac:dyDescent="0.3">
      <c r="B26" s="222" t="s">
        <v>633</v>
      </c>
      <c r="C26" s="340"/>
      <c r="D26" s="370">
        <v>0.68</v>
      </c>
      <c r="E26" s="402">
        <f t="shared" si="2"/>
        <v>341326144.12550753</v>
      </c>
      <c r="F26" s="402">
        <f t="shared" si="2"/>
        <v>417704911.71276635</v>
      </c>
      <c r="G26" s="402">
        <f t="shared" si="2"/>
        <v>306796323.73705757</v>
      </c>
      <c r="H26" s="402">
        <f t="shared" si="2"/>
        <v>266485613.78381768</v>
      </c>
      <c r="I26" s="403">
        <f t="shared" si="2"/>
        <v>241792437.56814414</v>
      </c>
      <c r="J26" s="368"/>
      <c r="K26" s="372"/>
      <c r="P26" s="373"/>
      <c r="Q26" s="373"/>
      <c r="R26" s="373"/>
      <c r="T26" s="373"/>
      <c r="U26" s="373"/>
      <c r="V26" s="373"/>
      <c r="W26" s="371"/>
      <c r="Y26" s="374"/>
      <c r="AI26" s="369"/>
      <c r="AJ26" s="368"/>
    </row>
    <row r="27" spans="1:36" x14ac:dyDescent="0.3">
      <c r="B27" s="222" t="s">
        <v>634</v>
      </c>
      <c r="C27" s="340"/>
      <c r="D27" s="370">
        <v>0.11</v>
      </c>
      <c r="E27" s="402">
        <f t="shared" si="2"/>
        <v>55214523.314420328</v>
      </c>
      <c r="F27" s="402">
        <f t="shared" si="2"/>
        <v>67569912.188829854</v>
      </c>
      <c r="G27" s="402">
        <f t="shared" si="2"/>
        <v>49628817.075112253</v>
      </c>
      <c r="H27" s="402">
        <f t="shared" si="2"/>
        <v>43107966.935617566</v>
      </c>
      <c r="I27" s="403">
        <f t="shared" si="2"/>
        <v>39113482.547788024</v>
      </c>
      <c r="J27" s="368"/>
      <c r="K27" s="372"/>
      <c r="Q27" s="373"/>
      <c r="R27" s="373"/>
      <c r="T27" s="373"/>
      <c r="U27" s="373"/>
      <c r="V27" s="373"/>
      <c r="W27" s="371"/>
      <c r="Y27" s="374"/>
      <c r="AI27" s="369"/>
      <c r="AJ27" s="368"/>
    </row>
    <row r="28" spans="1:36" x14ac:dyDescent="0.3">
      <c r="B28" s="222" t="s">
        <v>635</v>
      </c>
      <c r="C28" s="340"/>
      <c r="D28" s="370">
        <v>0.18</v>
      </c>
      <c r="E28" s="402">
        <f t="shared" si="2"/>
        <v>90351038.150869623</v>
      </c>
      <c r="F28" s="402">
        <f t="shared" si="2"/>
        <v>110568947.2180852</v>
      </c>
      <c r="G28" s="402">
        <f t="shared" si="2"/>
        <v>81210791.577456415</v>
      </c>
      <c r="H28" s="402">
        <f t="shared" si="2"/>
        <v>70540309.531010553</v>
      </c>
      <c r="I28" s="403">
        <f t="shared" si="2"/>
        <v>64003880.532744028</v>
      </c>
      <c r="J28" s="368"/>
      <c r="K28" s="43"/>
      <c r="L28" s="43"/>
      <c r="M28" s="43"/>
      <c r="N28" s="43"/>
      <c r="O28" s="43"/>
      <c r="P28" s="43"/>
      <c r="R28" s="373"/>
      <c r="T28" s="373"/>
      <c r="U28" s="373"/>
      <c r="V28" s="373"/>
      <c r="W28" s="371"/>
      <c r="Y28" s="374"/>
      <c r="AI28" s="369"/>
      <c r="AJ28" s="368"/>
    </row>
    <row r="29" spans="1:36" x14ac:dyDescent="0.3">
      <c r="B29" s="222" t="s">
        <v>636</v>
      </c>
      <c r="C29" s="340"/>
      <c r="D29" s="370">
        <v>0.1</v>
      </c>
      <c r="E29" s="402">
        <f t="shared" si="2"/>
        <v>50195021.194927573</v>
      </c>
      <c r="F29" s="402">
        <f t="shared" si="2"/>
        <v>61427192.898936227</v>
      </c>
      <c r="G29" s="402">
        <f t="shared" si="2"/>
        <v>45117106.43192023</v>
      </c>
      <c r="H29" s="402">
        <f t="shared" si="2"/>
        <v>39189060.850561425</v>
      </c>
      <c r="I29" s="403">
        <f t="shared" si="2"/>
        <v>35557711.407080017</v>
      </c>
      <c r="J29" s="368"/>
      <c r="K29" s="375"/>
      <c r="P29" s="376"/>
      <c r="R29" s="373"/>
      <c r="T29" s="373"/>
      <c r="U29" s="373"/>
      <c r="V29" s="373"/>
      <c r="W29" s="371"/>
      <c r="Y29" s="374"/>
      <c r="AI29" s="369"/>
      <c r="AJ29" s="368"/>
    </row>
    <row r="30" spans="1:36" x14ac:dyDescent="0.3">
      <c r="B30" s="222" t="s">
        <v>637</v>
      </c>
      <c r="C30" s="340"/>
      <c r="D30" s="370">
        <v>0.7</v>
      </c>
      <c r="E30" s="402">
        <f t="shared" si="2"/>
        <v>351365148.36449301</v>
      </c>
      <c r="F30" s="402">
        <f t="shared" si="2"/>
        <v>429990350.29255354</v>
      </c>
      <c r="G30" s="402">
        <f t="shared" si="2"/>
        <v>315819745.02344161</v>
      </c>
      <c r="H30" s="402">
        <f t="shared" si="2"/>
        <v>274323425.95392996</v>
      </c>
      <c r="I30" s="403">
        <f t="shared" si="2"/>
        <v>248903979.84956011</v>
      </c>
      <c r="J30" s="368"/>
      <c r="K30" s="336"/>
      <c r="P30" s="337"/>
      <c r="R30" s="373"/>
      <c r="T30" s="373"/>
      <c r="U30" s="373"/>
      <c r="V30" s="431"/>
      <c r="W30" s="371"/>
      <c r="Y30" s="374"/>
      <c r="AI30" s="369"/>
      <c r="AJ30" s="368"/>
    </row>
    <row r="31" spans="1:36" x14ac:dyDescent="0.3">
      <c r="B31" s="326" t="s">
        <v>814</v>
      </c>
      <c r="C31" s="416"/>
      <c r="D31" s="417">
        <f t="shared" ref="D31:I31" si="3">SUBTOTAL(9,D32:D36)</f>
        <v>1.44</v>
      </c>
      <c r="E31" s="418">
        <f t="shared" si="3"/>
        <v>722808305.2069571</v>
      </c>
      <c r="F31" s="418">
        <f t="shared" si="3"/>
        <v>884551577.7446816</v>
      </c>
      <c r="G31" s="418">
        <f t="shared" si="3"/>
        <v>649686332.61965132</v>
      </c>
      <c r="H31" s="418">
        <f t="shared" si="3"/>
        <v>564322476.24808455</v>
      </c>
      <c r="I31" s="419">
        <f t="shared" si="3"/>
        <v>512031044.26195228</v>
      </c>
      <c r="J31" s="368"/>
      <c r="K31" s="336"/>
      <c r="P31" s="338"/>
      <c r="R31" s="373"/>
      <c r="T31" s="373"/>
      <c r="U31" s="373"/>
      <c r="V31" s="373"/>
      <c r="W31" s="371"/>
      <c r="Y31" s="374"/>
      <c r="AI31" s="369"/>
      <c r="AJ31" s="368"/>
    </row>
    <row r="32" spans="1:36" x14ac:dyDescent="0.3">
      <c r="B32" s="222" t="s">
        <v>638</v>
      </c>
      <c r="C32" s="340"/>
      <c r="D32" s="370">
        <v>0.33</v>
      </c>
      <c r="E32" s="402">
        <f>$D32*E$23/$D$23</f>
        <v>165643569.943261</v>
      </c>
      <c r="F32" s="402">
        <f>$D32*F$23/$D$23</f>
        <v>202709736.56648955</v>
      </c>
      <c r="G32" s="402">
        <f>$D32*G$23/$D$23</f>
        <v>148886451.22533676</v>
      </c>
      <c r="H32" s="402">
        <f>$D32*H$23/$D$23</f>
        <v>129323900.8068527</v>
      </c>
      <c r="I32" s="403">
        <f>$D32*I$23/$D$23</f>
        <v>117340447.64336407</v>
      </c>
      <c r="J32" s="368"/>
      <c r="K32" s="336"/>
      <c r="Q32" s="43"/>
      <c r="R32" s="43"/>
      <c r="S32" s="43"/>
      <c r="T32" s="46"/>
      <c r="U32" s="46"/>
      <c r="V32" s="46"/>
      <c r="W32" s="371"/>
      <c r="AI32" s="369"/>
      <c r="AJ32" s="368"/>
    </row>
    <row r="33" spans="2:36" x14ac:dyDescent="0.3">
      <c r="B33" s="222" t="s">
        <v>639</v>
      </c>
      <c r="C33" s="340"/>
      <c r="D33" s="370">
        <v>0.41</v>
      </c>
      <c r="E33" s="402">
        <f t="shared" ref="E33:I36" si="4">$D33*E$23/$D$23</f>
        <v>205799586.89920303</v>
      </c>
      <c r="F33" s="402">
        <f t="shared" si="4"/>
        <v>251851490.88563851</v>
      </c>
      <c r="G33" s="402">
        <f t="shared" si="4"/>
        <v>184980136.37087294</v>
      </c>
      <c r="H33" s="402">
        <f t="shared" si="4"/>
        <v>160675149.48730183</v>
      </c>
      <c r="I33" s="403">
        <f t="shared" si="4"/>
        <v>145786616.76902807</v>
      </c>
      <c r="J33" s="368"/>
      <c r="K33" s="336"/>
      <c r="P33" s="339"/>
      <c r="AI33" s="369"/>
      <c r="AJ33" s="368"/>
    </row>
    <row r="34" spans="2:36" x14ac:dyDescent="0.3">
      <c r="B34" s="222" t="s">
        <v>640</v>
      </c>
      <c r="C34" s="340"/>
      <c r="D34" s="370">
        <v>0.04</v>
      </c>
      <c r="E34" s="402">
        <f t="shared" si="4"/>
        <v>20078008.477971029</v>
      </c>
      <c r="F34" s="402">
        <f t="shared" si="4"/>
        <v>24570877.15957449</v>
      </c>
      <c r="G34" s="402">
        <f t="shared" si="4"/>
        <v>18046842.572768092</v>
      </c>
      <c r="H34" s="402">
        <f t="shared" si="4"/>
        <v>15675624.34022457</v>
      </c>
      <c r="I34" s="403">
        <f t="shared" si="4"/>
        <v>14223084.562832007</v>
      </c>
      <c r="J34" s="368"/>
      <c r="K34" s="336"/>
      <c r="P34" s="377"/>
      <c r="AI34" s="369"/>
      <c r="AJ34" s="368"/>
    </row>
    <row r="35" spans="2:36" x14ac:dyDescent="0.3">
      <c r="B35" s="222" t="s">
        <v>641</v>
      </c>
      <c r="C35" s="340"/>
      <c r="D35" s="370">
        <v>0.22</v>
      </c>
      <c r="E35" s="402">
        <f t="shared" si="4"/>
        <v>110429046.62884066</v>
      </c>
      <c r="F35" s="402">
        <f t="shared" si="4"/>
        <v>135139824.37765971</v>
      </c>
      <c r="G35" s="402">
        <f t="shared" si="4"/>
        <v>99257634.150224507</v>
      </c>
      <c r="H35" s="402">
        <f t="shared" si="4"/>
        <v>86215933.871235132</v>
      </c>
      <c r="I35" s="403">
        <f t="shared" si="4"/>
        <v>78226965.095576048</v>
      </c>
      <c r="J35" s="368"/>
      <c r="S35" s="373"/>
      <c r="AI35" s="369"/>
      <c r="AJ35" s="368"/>
    </row>
    <row r="36" spans="2:36" x14ac:dyDescent="0.3">
      <c r="B36" s="222" t="s">
        <v>642</v>
      </c>
      <c r="C36" s="340"/>
      <c r="D36" s="370">
        <v>0.44</v>
      </c>
      <c r="E36" s="402">
        <f t="shared" si="4"/>
        <v>220858093.25768131</v>
      </c>
      <c r="F36" s="402">
        <f t="shared" si="4"/>
        <v>270279648.75531942</v>
      </c>
      <c r="G36" s="402">
        <f t="shared" si="4"/>
        <v>198515268.30044901</v>
      </c>
      <c r="H36" s="402">
        <f t="shared" si="4"/>
        <v>172431867.74247026</v>
      </c>
      <c r="I36" s="403">
        <f>$D36*I$23/$D$23</f>
        <v>156453930.1911521</v>
      </c>
      <c r="J36" s="368"/>
      <c r="AI36" s="369"/>
      <c r="AJ36" s="368"/>
    </row>
    <row r="37" spans="2:36" x14ac:dyDescent="0.3">
      <c r="B37" s="344" t="s">
        <v>739</v>
      </c>
      <c r="C37" s="228"/>
      <c r="D37" s="228"/>
      <c r="E37" s="406">
        <f>E21*$E$15</f>
        <v>224718223.03888342</v>
      </c>
      <c r="F37" s="406">
        <f>F21*$E$15</f>
        <v>275003562.22402811</v>
      </c>
      <c r="G37" s="406">
        <f>G21*$E$15</f>
        <v>201984893.01687655</v>
      </c>
      <c r="H37" s="406">
        <f>H21*$E$15</f>
        <v>175445610.08753541</v>
      </c>
      <c r="I37" s="407">
        <f>I21*$E$15</f>
        <v>159188412.16737911</v>
      </c>
      <c r="J37" s="368"/>
      <c r="AI37" s="369"/>
      <c r="AJ37" s="368"/>
    </row>
    <row r="38" spans="2:36" ht="17.25" thickBot="1" x14ac:dyDescent="0.35">
      <c r="B38" s="344"/>
      <c r="C38" s="228"/>
      <c r="D38" s="228"/>
      <c r="E38" s="406"/>
      <c r="F38" s="406"/>
      <c r="G38" s="406"/>
      <c r="H38" s="406"/>
      <c r="I38" s="407"/>
      <c r="J38" s="368"/>
      <c r="AI38" s="369"/>
      <c r="AJ38" s="368"/>
    </row>
    <row r="39" spans="2:36" ht="17.25" thickBot="1" x14ac:dyDescent="0.35">
      <c r="B39" s="223" t="s">
        <v>830</v>
      </c>
      <c r="C39" s="228"/>
      <c r="D39" s="228"/>
      <c r="E39" s="406">
        <f>SUBTOTAL(9,E40:E54)</f>
        <v>1250272610.5606427</v>
      </c>
      <c r="F39" s="406">
        <f>SUBTOTAL(9,F40:F54)</f>
        <v>1503735186.8513894</v>
      </c>
      <c r="G39" s="406">
        <f>SUBTOTAL(9,G40:G54)</f>
        <v>1198796625.6556396</v>
      </c>
      <c r="H39" s="406">
        <f>SUBTOTAL(9,H40:H54)</f>
        <v>1004323953.2317829</v>
      </c>
      <c r="I39" s="407">
        <f>SUBTOTAL(9,I40:I54)</f>
        <v>856710612.66385853</v>
      </c>
      <c r="J39" s="368"/>
      <c r="K39" s="558" t="s">
        <v>817</v>
      </c>
      <c r="L39" s="559"/>
      <c r="M39" s="559"/>
      <c r="N39" s="559"/>
      <c r="O39" s="558" t="s">
        <v>819</v>
      </c>
      <c r="P39" s="559"/>
      <c r="Q39" s="559"/>
      <c r="R39" s="559"/>
      <c r="S39" s="559"/>
      <c r="T39" s="560"/>
      <c r="U39" s="330"/>
      <c r="V39" s="352" t="s">
        <v>710</v>
      </c>
      <c r="W39" s="352" t="s">
        <v>673</v>
      </c>
      <c r="X39" s="373"/>
      <c r="AI39" s="369"/>
      <c r="AJ39" s="368"/>
    </row>
    <row r="40" spans="2:36" x14ac:dyDescent="0.3">
      <c r="B40" s="327" t="s">
        <v>815</v>
      </c>
      <c r="C40" s="416"/>
      <c r="D40" s="416"/>
      <c r="E40" s="418">
        <f>SUBTOTAL(9,E41:E48)</f>
        <v>1240175872.9394107</v>
      </c>
      <c r="F40" s="418">
        <f>SUBTOTAL(9,F41:F48)</f>
        <v>1491632385.1669199</v>
      </c>
      <c r="G40" s="418">
        <f>SUBTOTAL(9,G41:G48)</f>
        <v>1189606801.3065619</v>
      </c>
      <c r="H40" s="418">
        <f>SUBTOTAL(9,H41:H48)</f>
        <v>996192875.38254619</v>
      </c>
      <c r="I40" s="419">
        <f>SUBTOTAL(9,I41:I48)</f>
        <v>849228091.75292587</v>
      </c>
      <c r="J40" s="368"/>
      <c r="K40" s="323"/>
      <c r="L40" s="324" t="s">
        <v>818</v>
      </c>
      <c r="M40" s="324" t="s">
        <v>646</v>
      </c>
      <c r="N40" s="332" t="s">
        <v>659</v>
      </c>
      <c r="O40" s="329" t="s">
        <v>647</v>
      </c>
      <c r="P40" s="330" t="s">
        <v>781</v>
      </c>
      <c r="Q40" s="330" t="s">
        <v>782</v>
      </c>
      <c r="R40" s="330" t="s">
        <v>783</v>
      </c>
      <c r="S40" s="330" t="s">
        <v>784</v>
      </c>
      <c r="T40" s="331" t="s">
        <v>785</v>
      </c>
      <c r="U40" s="330"/>
      <c r="V40" s="352">
        <v>1</v>
      </c>
      <c r="W40" s="352">
        <v>0.45359237000000002</v>
      </c>
      <c r="AI40" s="369"/>
      <c r="AJ40" s="368"/>
    </row>
    <row r="41" spans="2:36" x14ac:dyDescent="0.3">
      <c r="B41" s="222" t="s">
        <v>826</v>
      </c>
      <c r="C41" s="340"/>
      <c r="D41" s="340"/>
      <c r="E41" s="402">
        <f>P41*$L41*$N41</f>
        <v>303066278.36371672</v>
      </c>
      <c r="F41" s="402">
        <f>Q41*$L41*$N41</f>
        <v>303066278.36371672</v>
      </c>
      <c r="G41" s="402">
        <f t="shared" ref="F41:I48" si="5">R41*$L41*$N41</f>
        <v>303066278.36371672</v>
      </c>
      <c r="H41" s="402">
        <f t="shared" si="5"/>
        <v>303066278.36371672</v>
      </c>
      <c r="I41" s="403">
        <f t="shared" si="5"/>
        <v>303066278.36371672</v>
      </c>
      <c r="J41" s="368"/>
      <c r="K41" s="378" t="s">
        <v>826</v>
      </c>
      <c r="L41" s="352">
        <v>3.27</v>
      </c>
      <c r="M41" s="352" t="s">
        <v>676</v>
      </c>
      <c r="N41" s="379">
        <v>1</v>
      </c>
      <c r="O41" s="400" t="s">
        <v>677</v>
      </c>
      <c r="P41" s="373">
        <v>92680819.071473002</v>
      </c>
      <c r="Q41" s="373">
        <v>92680819.071473002</v>
      </c>
      <c r="R41" s="373">
        <f>327437.649716956/28.263682*8000</f>
        <v>92680819.071473002</v>
      </c>
      <c r="S41" s="373">
        <f>327437.649716956/28.263682*8000</f>
        <v>92680819.071473002</v>
      </c>
      <c r="T41" s="426">
        <f>327437.649716956/28.263682*8000</f>
        <v>92680819.071473002</v>
      </c>
      <c r="U41" s="373"/>
      <c r="V41" s="380" t="s">
        <v>683</v>
      </c>
      <c r="AI41" s="369"/>
      <c r="AJ41" s="368"/>
    </row>
    <row r="42" spans="2:36" x14ac:dyDescent="0.3">
      <c r="B42" s="222" t="s">
        <v>816</v>
      </c>
      <c r="C42" s="340"/>
      <c r="D42" s="340"/>
      <c r="E42" s="402">
        <f t="shared" ref="E42:E48" si="6">P42*$L42*$N42</f>
        <v>143265609.75522712</v>
      </c>
      <c r="F42" s="402">
        <f t="shared" si="5"/>
        <v>243100096.25026989</v>
      </c>
      <c r="G42" s="402">
        <f>R42*$L42*$N42</f>
        <v>187104088.90434361</v>
      </c>
      <c r="H42" s="402">
        <f t="shared" si="5"/>
        <v>156130685.60420069</v>
      </c>
      <c r="I42" s="403">
        <f t="shared" si="5"/>
        <v>136392638.43295923</v>
      </c>
      <c r="J42" s="368"/>
      <c r="K42" s="378" t="s">
        <v>816</v>
      </c>
      <c r="L42" s="352">
        <f>L41</f>
        <v>3.27</v>
      </c>
      <c r="M42" s="352" t="s">
        <v>676</v>
      </c>
      <c r="N42" s="379">
        <v>1</v>
      </c>
      <c r="O42" s="400" t="s">
        <v>677</v>
      </c>
      <c r="P42" s="373">
        <v>43812113.074992999</v>
      </c>
      <c r="Q42" s="373">
        <f>262649.228386354/28.263682*8000</f>
        <v>74342537.079593241</v>
      </c>
      <c r="R42" s="373">
        <f>202150.247312389/28.263682*8000</f>
        <v>57218375.811725877</v>
      </c>
      <c r="S42" s="373">
        <f>168686.087475501/28.263682*8000</f>
        <v>47746387.034923762</v>
      </c>
      <c r="T42" s="426">
        <f>147360.785925464/28.263682*8000</f>
        <v>41710286.982556343</v>
      </c>
      <c r="U42" s="373"/>
      <c r="V42" s="183" t="s">
        <v>707</v>
      </c>
      <c r="AI42" s="369"/>
      <c r="AJ42" s="368"/>
    </row>
    <row r="43" spans="2:36" x14ac:dyDescent="0.3">
      <c r="B43" s="222" t="s">
        <v>166</v>
      </c>
      <c r="C43" s="340"/>
      <c r="D43" s="340"/>
      <c r="E43" s="402">
        <f t="shared" si="6"/>
        <v>14335462.4</v>
      </c>
      <c r="F43" s="402">
        <f t="shared" si="5"/>
        <v>220960613.79773313</v>
      </c>
      <c r="G43" s="402">
        <f t="shared" si="5"/>
        <v>170065896.88234177</v>
      </c>
      <c r="H43" s="402">
        <f t="shared" si="5"/>
        <v>141914200.58141279</v>
      </c>
      <c r="I43" s="403">
        <f t="shared" si="5"/>
        <v>123974308.59880991</v>
      </c>
      <c r="J43" s="368"/>
      <c r="K43" s="378" t="s">
        <v>166</v>
      </c>
      <c r="L43" s="352">
        <v>40</v>
      </c>
      <c r="M43" s="352" t="s">
        <v>662</v>
      </c>
      <c r="N43" s="379">
        <v>1</v>
      </c>
      <c r="O43" s="400" t="s">
        <v>667</v>
      </c>
      <c r="P43" s="373">
        <v>358386.56</v>
      </c>
      <c r="Q43" s="373">
        <f>690501.918117916/1000*8000</f>
        <v>5524015.3449433278</v>
      </c>
      <c r="R43" s="373">
        <f>531455.927757318/1000*8000</f>
        <v>4251647.4220585441</v>
      </c>
      <c r="S43" s="373">
        <f>443481.876816915/1000*8000</f>
        <v>3547855.01453532</v>
      </c>
      <c r="T43" s="426">
        <f>387419.714371281/1000*8000</f>
        <v>3099357.7149702478</v>
      </c>
      <c r="U43" s="373"/>
      <c r="AI43" s="369"/>
      <c r="AJ43" s="368"/>
    </row>
    <row r="44" spans="2:36" x14ac:dyDescent="0.3">
      <c r="B44" s="222" t="s">
        <v>787</v>
      </c>
      <c r="C44" s="340"/>
      <c r="D44" s="340"/>
      <c r="E44" s="402">
        <f t="shared" si="6"/>
        <v>101884143.59999999</v>
      </c>
      <c r="F44" s="402">
        <f t="shared" si="5"/>
        <v>100075606.56</v>
      </c>
      <c r="G44" s="402">
        <f>R44*$L44*$N44</f>
        <v>70529291.640000001</v>
      </c>
      <c r="H44" s="402">
        <f t="shared" si="5"/>
        <v>53760233.879999995</v>
      </c>
      <c r="I44" s="403">
        <f t="shared" si="5"/>
        <v>44886791.879999995</v>
      </c>
      <c r="J44" s="368"/>
      <c r="K44" s="378" t="s">
        <v>787</v>
      </c>
      <c r="L44" s="352">
        <v>0.03</v>
      </c>
      <c r="M44" s="352" t="s">
        <v>662</v>
      </c>
      <c r="N44" s="379">
        <v>1</v>
      </c>
      <c r="O44" s="400" t="s">
        <v>667</v>
      </c>
      <c r="P44" s="373">
        <v>3396138120</v>
      </c>
      <c r="Q44" s="373">
        <v>3335853552</v>
      </c>
      <c r="R44" s="373">
        <v>2350976388</v>
      </c>
      <c r="S44" s="373">
        <v>1792007796</v>
      </c>
      <c r="T44" s="426">
        <v>1496226396</v>
      </c>
      <c r="U44" s="373"/>
      <c r="AI44" s="369"/>
      <c r="AJ44" s="368"/>
    </row>
    <row r="45" spans="2:36" x14ac:dyDescent="0.3">
      <c r="B45" s="222" t="s">
        <v>182</v>
      </c>
      <c r="C45" s="340"/>
      <c r="D45" s="340"/>
      <c r="E45" s="402">
        <f t="shared" si="6"/>
        <v>578820085.27200007</v>
      </c>
      <c r="F45" s="402">
        <f>Q45*$L45*$N45</f>
        <v>569343795.84000003</v>
      </c>
      <c r="G45" s="402">
        <f t="shared" si="5"/>
        <v>413724673.44000006</v>
      </c>
      <c r="H45" s="402">
        <f t="shared" si="5"/>
        <v>299483095.68000001</v>
      </c>
      <c r="I45" s="403">
        <f t="shared" si="5"/>
        <v>192992856.48000002</v>
      </c>
      <c r="J45" s="368"/>
      <c r="K45" s="378" t="s">
        <v>182</v>
      </c>
      <c r="L45" s="352">
        <v>6.9000000000000006E-2</v>
      </c>
      <c r="M45" s="352" t="s">
        <v>661</v>
      </c>
      <c r="N45" s="379">
        <v>1</v>
      </c>
      <c r="O45" s="400" t="s">
        <v>653</v>
      </c>
      <c r="P45" s="373">
        <v>8388696888</v>
      </c>
      <c r="Q45" s="373">
        <v>8251359360</v>
      </c>
      <c r="R45" s="373">
        <v>5996009760</v>
      </c>
      <c r="S45" s="373">
        <v>4340334720</v>
      </c>
      <c r="T45" s="426">
        <v>2796997920</v>
      </c>
      <c r="U45" s="373"/>
      <c r="AI45" s="369"/>
      <c r="AJ45" s="368"/>
    </row>
    <row r="46" spans="2:36" x14ac:dyDescent="0.3">
      <c r="B46" s="222" t="s">
        <v>185</v>
      </c>
      <c r="C46" s="340"/>
      <c r="D46" s="340"/>
      <c r="E46" s="402">
        <f t="shared" si="6"/>
        <v>572343.22860000003</v>
      </c>
      <c r="F46" s="402">
        <f t="shared" si="5"/>
        <v>0</v>
      </c>
      <c r="G46" s="402">
        <f t="shared" si="5"/>
        <v>0</v>
      </c>
      <c r="H46" s="402">
        <f t="shared" si="5"/>
        <v>0</v>
      </c>
      <c r="I46" s="403">
        <f t="shared" si="5"/>
        <v>0</v>
      </c>
      <c r="J46" s="368"/>
      <c r="K46" s="378" t="s">
        <v>185</v>
      </c>
      <c r="L46" s="352">
        <v>14.5</v>
      </c>
      <c r="M46" s="352" t="s">
        <v>662</v>
      </c>
      <c r="N46" s="379">
        <v>1</v>
      </c>
      <c r="O46" s="400" t="s">
        <v>667</v>
      </c>
      <c r="P46" s="373">
        <v>39471.946800000005</v>
      </c>
      <c r="Q46" s="420">
        <v>0</v>
      </c>
      <c r="R46" s="420">
        <v>0</v>
      </c>
      <c r="S46" s="420">
        <v>0</v>
      </c>
      <c r="T46" s="428">
        <v>0</v>
      </c>
      <c r="U46" s="420"/>
      <c r="AI46" s="369"/>
      <c r="AJ46" s="368"/>
    </row>
    <row r="47" spans="2:36" x14ac:dyDescent="0.3">
      <c r="B47" s="222" t="s">
        <v>187</v>
      </c>
      <c r="C47" s="340"/>
      <c r="D47" s="340"/>
      <c r="E47" s="402">
        <f t="shared" si="6"/>
        <v>12053565.09</v>
      </c>
      <c r="F47" s="402">
        <f t="shared" si="5"/>
        <v>0</v>
      </c>
      <c r="G47" s="402">
        <f t="shared" si="5"/>
        <v>0</v>
      </c>
      <c r="H47" s="402">
        <f t="shared" si="5"/>
        <v>0</v>
      </c>
      <c r="I47" s="403">
        <f t="shared" si="5"/>
        <v>0</v>
      </c>
      <c r="J47" s="368"/>
      <c r="K47" s="378" t="s">
        <v>187</v>
      </c>
      <c r="L47" s="352">
        <v>10.5</v>
      </c>
      <c r="M47" s="352" t="s">
        <v>662</v>
      </c>
      <c r="N47" s="379">
        <v>1</v>
      </c>
      <c r="O47" s="400" t="s">
        <v>667</v>
      </c>
      <c r="P47" s="373">
        <v>1147958.58</v>
      </c>
      <c r="Q47" s="420">
        <v>0</v>
      </c>
      <c r="R47" s="420">
        <v>0</v>
      </c>
      <c r="S47" s="420">
        <v>0</v>
      </c>
      <c r="T47" s="428">
        <v>0</v>
      </c>
      <c r="U47" s="420"/>
      <c r="AI47" s="369"/>
      <c r="AJ47" s="368"/>
    </row>
    <row r="48" spans="2:36" ht="17.25" thickBot="1" x14ac:dyDescent="0.35">
      <c r="B48" s="222" t="s">
        <v>592</v>
      </c>
      <c r="C48" s="340"/>
      <c r="D48" s="340"/>
      <c r="E48" s="402">
        <f t="shared" si="6"/>
        <v>86178385.229866669</v>
      </c>
      <c r="F48" s="402">
        <f t="shared" si="5"/>
        <v>55085994.3552</v>
      </c>
      <c r="G48" s="402">
        <f t="shared" si="5"/>
        <v>45116572.076159999</v>
      </c>
      <c r="H48" s="402">
        <f t="shared" si="5"/>
        <v>41838381.273216002</v>
      </c>
      <c r="I48" s="403">
        <f t="shared" si="5"/>
        <v>47915217.997440003</v>
      </c>
      <c r="J48" s="368"/>
      <c r="K48" s="381" t="s">
        <v>592</v>
      </c>
      <c r="L48" s="382">
        <v>3.2000000000000001E-2</v>
      </c>
      <c r="M48" s="382" t="s">
        <v>661</v>
      </c>
      <c r="N48" s="383">
        <v>1</v>
      </c>
      <c r="O48" s="401" t="s">
        <v>653</v>
      </c>
      <c r="P48" s="384">
        <v>2693074538.4333334</v>
      </c>
      <c r="Q48" s="384">
        <v>1721437323.5999999</v>
      </c>
      <c r="R48" s="384">
        <v>1409892877.3799999</v>
      </c>
      <c r="S48" s="384">
        <v>1307449414.7880001</v>
      </c>
      <c r="T48" s="427">
        <v>1497350562.4200001</v>
      </c>
      <c r="U48" s="373"/>
      <c r="AI48" s="369"/>
      <c r="AJ48" s="368"/>
    </row>
    <row r="49" spans="2:36" x14ac:dyDescent="0.3">
      <c r="B49" s="328" t="s">
        <v>656</v>
      </c>
      <c r="C49" s="416"/>
      <c r="D49" s="416"/>
      <c r="E49" s="418">
        <f>SUBTOTAL(9,E50:E54)</f>
        <v>10096737.621232051</v>
      </c>
      <c r="F49" s="418">
        <f>SUBTOTAL(9,F50:F54)</f>
        <v>12102801.684469206</v>
      </c>
      <c r="G49" s="418">
        <f>SUBTOTAL(9,G50:G54)</f>
        <v>9189824.3490775209</v>
      </c>
      <c r="H49" s="418">
        <f>SUBTOTAL(9,H50:H54)</f>
        <v>8131077.8492367845</v>
      </c>
      <c r="I49" s="419">
        <f>SUBTOTAL(9,I50:I54)</f>
        <v>7482520.9109326778</v>
      </c>
      <c r="J49" s="368"/>
      <c r="AH49" s="372"/>
      <c r="AI49" s="369"/>
      <c r="AJ49" s="368"/>
    </row>
    <row r="50" spans="2:36" x14ac:dyDescent="0.3">
      <c r="B50" s="343" t="s">
        <v>609</v>
      </c>
      <c r="C50" s="340"/>
      <c r="D50" s="340"/>
      <c r="E50" s="402">
        <v>760000</v>
      </c>
      <c r="F50" s="402">
        <v>760000</v>
      </c>
      <c r="G50" s="402">
        <v>760001</v>
      </c>
      <c r="H50" s="402">
        <v>760002</v>
      </c>
      <c r="I50" s="403">
        <v>760003</v>
      </c>
      <c r="J50" s="368"/>
      <c r="N50" s="352" t="s">
        <v>826</v>
      </c>
      <c r="P50" s="415">
        <f>E41/E$39</f>
        <v>0.24240015801659195</v>
      </c>
      <c r="Q50" s="415">
        <f t="shared" ref="Q50:T58" si="7">F41/F$39</f>
        <v>0.20154232009313755</v>
      </c>
      <c r="R50" s="415">
        <f t="shared" si="7"/>
        <v>0.25280875160785948</v>
      </c>
      <c r="S50" s="415">
        <f t="shared" si="7"/>
        <v>0.30176147585496604</v>
      </c>
      <c r="T50" s="415">
        <f t="shared" si="7"/>
        <v>0.35375571853996479</v>
      </c>
      <c r="AH50" s="372"/>
      <c r="AI50" s="369"/>
      <c r="AJ50" s="368"/>
    </row>
    <row r="51" spans="2:36" x14ac:dyDescent="0.3">
      <c r="B51" s="343" t="s">
        <v>610</v>
      </c>
      <c r="C51" s="340"/>
      <c r="D51" s="340"/>
      <c r="E51" s="402">
        <f>0.03*E75</f>
        <v>6741546.6911665024</v>
      </c>
      <c r="F51" s="402">
        <f>0.03*F75</f>
        <v>8250106.8667208431</v>
      </c>
      <c r="G51" s="402">
        <f>0.03*G75</f>
        <v>6059546.7905062959</v>
      </c>
      <c r="H51" s="402">
        <f>0.03*H75</f>
        <v>5263368.3026260622</v>
      </c>
      <c r="I51" s="403">
        <f>0.03*I75</f>
        <v>4775652.3650213731</v>
      </c>
      <c r="J51" s="368"/>
      <c r="N51" s="352" t="s">
        <v>816</v>
      </c>
      <c r="P51" s="415">
        <f t="shared" ref="P51:P58" si="8">E42/E$39</f>
        <v>0.11458749759461216</v>
      </c>
      <c r="Q51" s="415">
        <f t="shared" si="7"/>
        <v>0.1616641669197669</v>
      </c>
      <c r="R51" s="415">
        <f t="shared" si="7"/>
        <v>0.15607658955664278</v>
      </c>
      <c r="S51" s="415">
        <f t="shared" si="7"/>
        <v>0.15545849036239015</v>
      </c>
      <c r="T51" s="415">
        <f t="shared" si="7"/>
        <v>0.15920502958269603</v>
      </c>
      <c r="AH51" s="372"/>
      <c r="AI51" s="369"/>
      <c r="AJ51" s="368"/>
    </row>
    <row r="52" spans="2:36" x14ac:dyDescent="0.3">
      <c r="B52" s="343" t="s">
        <v>611</v>
      </c>
      <c r="C52" s="340"/>
      <c r="D52" s="340"/>
      <c r="E52" s="402">
        <f>0.15*E50</f>
        <v>114000</v>
      </c>
      <c r="F52" s="402">
        <f>0.15*F50</f>
        <v>114000</v>
      </c>
      <c r="G52" s="402">
        <f>0.15*G50</f>
        <v>114000.15</v>
      </c>
      <c r="H52" s="402">
        <f>0.15*H50</f>
        <v>114000.3</v>
      </c>
      <c r="I52" s="403">
        <f>0.15*I50</f>
        <v>114000.45</v>
      </c>
      <c r="J52" s="368"/>
      <c r="N52" s="352" t="s">
        <v>166</v>
      </c>
      <c r="P52" s="415">
        <f t="shared" si="8"/>
        <v>1.146586934634339E-2</v>
      </c>
      <c r="Q52" s="415">
        <f t="shared" si="7"/>
        <v>0.14694117403769322</v>
      </c>
      <c r="R52" s="415">
        <f t="shared" si="7"/>
        <v>0.14186384349332834</v>
      </c>
      <c r="S52" s="415">
        <f t="shared" si="7"/>
        <v>0.14130321210078828</v>
      </c>
      <c r="T52" s="415">
        <f t="shared" si="7"/>
        <v>0.14470966831299525</v>
      </c>
      <c r="V52" s="353"/>
      <c r="AH52" s="372"/>
      <c r="AI52" s="369"/>
      <c r="AJ52" s="368"/>
    </row>
    <row r="53" spans="2:36" x14ac:dyDescent="0.3">
      <c r="B53" s="343" t="s">
        <v>612</v>
      </c>
      <c r="C53" s="340"/>
      <c r="D53" s="340"/>
      <c r="E53" s="402">
        <f>0.25*(E50+E51)</f>
        <v>1875386.6727916256</v>
      </c>
      <c r="F53" s="402">
        <f>0.25*(F50+F51)</f>
        <v>2252526.716680211</v>
      </c>
      <c r="G53" s="402">
        <f>0.25*(G50+G51)</f>
        <v>1704886.947626574</v>
      </c>
      <c r="H53" s="402">
        <f>0.25*(H50+H51)</f>
        <v>1505842.5756565155</v>
      </c>
      <c r="I53" s="403">
        <f>0.25*(I50+I51)</f>
        <v>1383913.8412553433</v>
      </c>
      <c r="J53" s="368"/>
      <c r="N53" s="352" t="s">
        <v>787</v>
      </c>
      <c r="P53" s="415">
        <f t="shared" si="8"/>
        <v>8.1489542952007457E-2</v>
      </c>
      <c r="Q53" s="415">
        <f t="shared" si="7"/>
        <v>6.6551349888635841E-2</v>
      </c>
      <c r="R53" s="415">
        <f t="shared" si="7"/>
        <v>5.8833408545362301E-2</v>
      </c>
      <c r="S53" s="415">
        <f>H44/H$39</f>
        <v>5.3528777947600081E-2</v>
      </c>
      <c r="T53" s="415">
        <f t="shared" si="7"/>
        <v>5.2394345554362717E-2</v>
      </c>
      <c r="V53" s="385"/>
      <c r="AH53" s="372"/>
      <c r="AI53" s="369"/>
      <c r="AJ53" s="368"/>
    </row>
    <row r="54" spans="2:36" x14ac:dyDescent="0.3">
      <c r="B54" s="343" t="s">
        <v>613</v>
      </c>
      <c r="C54" s="340"/>
      <c r="D54" s="340"/>
      <c r="E54" s="414">
        <f>SUM(E50:E53)/0.94*0.06</f>
        <v>605804.25727392302</v>
      </c>
      <c r="F54" s="414">
        <f>SUM(F50:F53)/0.94*0.06</f>
        <v>726168.10106815246</v>
      </c>
      <c r="G54" s="414">
        <f>SUM(G50:G53)/0.94*0.06</f>
        <v>551389.46094465139</v>
      </c>
      <c r="H54" s="414">
        <f>SUM(H50:H53)/0.94*0.06</f>
        <v>487864.67095420713</v>
      </c>
      <c r="I54" s="432">
        <f>SUM(I50:I53)/0.94*0.06</f>
        <v>448951.25465596066</v>
      </c>
      <c r="J54" s="368"/>
      <c r="N54" s="352" t="s">
        <v>182</v>
      </c>
      <c r="P54" s="415">
        <f t="shared" si="8"/>
        <v>0.46295510305744253</v>
      </c>
      <c r="Q54" s="415">
        <f t="shared" si="7"/>
        <v>0.37861972029272395</v>
      </c>
      <c r="R54" s="415">
        <f t="shared" si="7"/>
        <v>0.34511664830031358</v>
      </c>
      <c r="S54" s="415">
        <f t="shared" si="7"/>
        <v>0.29819371998079169</v>
      </c>
      <c r="T54" s="415">
        <f t="shared" si="7"/>
        <v>0.22527193386796909</v>
      </c>
      <c r="V54" s="385"/>
      <c r="AH54" s="372"/>
      <c r="AI54" s="369"/>
      <c r="AJ54" s="368"/>
    </row>
    <row r="55" spans="2:36" x14ac:dyDescent="0.3">
      <c r="B55" s="344"/>
      <c r="C55" s="340"/>
      <c r="D55" s="436"/>
      <c r="E55" s="402"/>
      <c r="F55" s="402"/>
      <c r="G55" s="402"/>
      <c r="H55" s="402"/>
      <c r="I55" s="403"/>
      <c r="J55" s="368"/>
      <c r="N55" s="352" t="s">
        <v>185</v>
      </c>
      <c r="P55" s="415">
        <f t="shared" si="8"/>
        <v>4.5777474749554976E-4</v>
      </c>
      <c r="Q55" s="415">
        <f t="shared" si="7"/>
        <v>0</v>
      </c>
      <c r="R55" s="415">
        <f t="shared" si="7"/>
        <v>0</v>
      </c>
      <c r="S55" s="415">
        <f t="shared" si="7"/>
        <v>0</v>
      </c>
      <c r="T55" s="415">
        <f t="shared" si="7"/>
        <v>0</v>
      </c>
      <c r="V55" s="385"/>
      <c r="AH55" s="372"/>
      <c r="AI55" s="369"/>
      <c r="AJ55" s="368"/>
    </row>
    <row r="56" spans="2:36" x14ac:dyDescent="0.3">
      <c r="B56" s="461" t="s">
        <v>824</v>
      </c>
      <c r="C56" s="462"/>
      <c r="D56" s="463"/>
      <c r="E56" s="464"/>
      <c r="F56" s="464"/>
      <c r="G56" s="464"/>
      <c r="H56" s="464"/>
      <c r="I56" s="465"/>
      <c r="J56" s="368"/>
      <c r="N56" s="352" t="s">
        <v>187</v>
      </c>
      <c r="P56" s="415">
        <f t="shared" si="8"/>
        <v>9.6407495358912035E-3</v>
      </c>
      <c r="Q56" s="415">
        <f t="shared" si="7"/>
        <v>0</v>
      </c>
      <c r="R56" s="415">
        <f t="shared" si="7"/>
        <v>0</v>
      </c>
      <c r="S56" s="415">
        <f t="shared" si="7"/>
        <v>0</v>
      </c>
      <c r="T56" s="415">
        <f t="shared" si="7"/>
        <v>0</v>
      </c>
      <c r="V56" s="385"/>
      <c r="AH56" s="372"/>
      <c r="AI56" s="369"/>
      <c r="AJ56" s="368"/>
    </row>
    <row r="57" spans="2:36" x14ac:dyDescent="0.3">
      <c r="B57" s="466" t="s">
        <v>618</v>
      </c>
      <c r="C57" s="462"/>
      <c r="D57" s="463" t="s">
        <v>831</v>
      </c>
      <c r="E57" s="464">
        <f t="shared" ref="E57:E62" si="9">P65</f>
        <v>486941333.18155122</v>
      </c>
      <c r="F57" s="464">
        <f t="shared" ref="F57:I62" si="10">Q65</f>
        <v>997046112.50216806</v>
      </c>
      <c r="G57" s="464">
        <f t="shared" si="10"/>
        <v>952570155.94539201</v>
      </c>
      <c r="H57" s="464">
        <f t="shared" si="10"/>
        <v>923200997.150352</v>
      </c>
      <c r="I57" s="465">
        <f t="shared" si="10"/>
        <v>856019683.31884801</v>
      </c>
      <c r="J57" s="368"/>
      <c r="N57" s="352" t="s">
        <v>592</v>
      </c>
      <c r="P57" s="415">
        <f t="shared" si="8"/>
        <v>6.8927675854006651E-2</v>
      </c>
      <c r="Q57" s="415">
        <f t="shared" si="7"/>
        <v>3.6632776061151E-2</v>
      </c>
      <c r="R57" s="415">
        <f t="shared" si="7"/>
        <v>3.7634884108457577E-2</v>
      </c>
      <c r="S57" s="415">
        <f t="shared" si="7"/>
        <v>4.1658252935803802E-2</v>
      </c>
      <c r="T57" s="415">
        <f t="shared" si="7"/>
        <v>5.5929291979297746E-2</v>
      </c>
      <c r="V57" s="385"/>
      <c r="AH57" s="372"/>
      <c r="AI57" s="369"/>
      <c r="AJ57" s="368"/>
    </row>
    <row r="58" spans="2:36" x14ac:dyDescent="0.3">
      <c r="B58" s="466" t="s">
        <v>625</v>
      </c>
      <c r="C58" s="462"/>
      <c r="D58" s="463" t="s">
        <v>831</v>
      </c>
      <c r="E58" s="464">
        <f t="shared" si="9"/>
        <v>350360698.92458081</v>
      </c>
      <c r="F58" s="464">
        <f t="shared" si="10"/>
        <v>274742808.03413355</v>
      </c>
      <c r="G58" s="464">
        <f t="shared" si="10"/>
        <v>293203629.84802163</v>
      </c>
      <c r="H58" s="464">
        <f t="shared" si="10"/>
        <v>301018058.82789356</v>
      </c>
      <c r="I58" s="465">
        <f t="shared" si="10"/>
        <v>310243137.77360719</v>
      </c>
      <c r="J58" s="368"/>
      <c r="N58" s="352" t="s">
        <v>656</v>
      </c>
      <c r="P58" s="415">
        <f t="shared" si="8"/>
        <v>8.0756288956090223E-3</v>
      </c>
      <c r="Q58" s="415">
        <f t="shared" si="7"/>
        <v>8.0484927068912825E-3</v>
      </c>
      <c r="R58" s="415">
        <f t="shared" si="7"/>
        <v>7.6658743880359771E-3</v>
      </c>
      <c r="S58" s="415">
        <f t="shared" si="7"/>
        <v>8.0960708176600199E-3</v>
      </c>
      <c r="T58" s="415">
        <f t="shared" si="7"/>
        <v>8.7340121627144367E-3</v>
      </c>
      <c r="V58" s="385"/>
      <c r="AH58" s="372"/>
      <c r="AI58" s="369"/>
      <c r="AJ58" s="368"/>
    </row>
    <row r="59" spans="2:36" x14ac:dyDescent="0.3">
      <c r="B59" s="466" t="s">
        <v>684</v>
      </c>
      <c r="C59" s="462"/>
      <c r="D59" s="463" t="s">
        <v>831</v>
      </c>
      <c r="E59" s="464">
        <f t="shared" si="9"/>
        <v>34503790.170814559</v>
      </c>
      <c r="F59" s="464">
        <f t="shared" si="10"/>
        <v>12756500.94973344</v>
      </c>
      <c r="G59" s="464">
        <f t="shared" si="10"/>
        <v>21305721.19333088</v>
      </c>
      <c r="H59" s="464">
        <f t="shared" si="10"/>
        <v>32966567.283104081</v>
      </c>
      <c r="I59" s="465">
        <f t="shared" si="10"/>
        <v>47398147.368275195</v>
      </c>
      <c r="J59" s="368"/>
      <c r="V59" s="385"/>
      <c r="AH59" s="372"/>
      <c r="AI59" s="369"/>
      <c r="AJ59" s="368"/>
    </row>
    <row r="60" spans="2:36" x14ac:dyDescent="0.3">
      <c r="B60" s="466" t="s">
        <v>621</v>
      </c>
      <c r="C60" s="462"/>
      <c r="D60" s="463" t="s">
        <v>831</v>
      </c>
      <c r="E60" s="464">
        <f t="shared" si="9"/>
        <v>91327938.858144805</v>
      </c>
      <c r="F60" s="464">
        <f t="shared" si="10"/>
        <v>105285509.78652319</v>
      </c>
      <c r="G60" s="464">
        <f t="shared" si="10"/>
        <v>141676645.05160642</v>
      </c>
      <c r="H60" s="464">
        <f t="shared" si="10"/>
        <v>186778107.3628872</v>
      </c>
      <c r="I60" s="465">
        <f t="shared" si="10"/>
        <v>234034332.75227839</v>
      </c>
      <c r="J60" s="368"/>
      <c r="V60" s="385"/>
      <c r="AH60" s="372"/>
      <c r="AI60" s="369"/>
      <c r="AJ60" s="368"/>
    </row>
    <row r="61" spans="2:36" x14ac:dyDescent="0.3">
      <c r="B61" s="466" t="s">
        <v>786</v>
      </c>
      <c r="C61" s="462"/>
      <c r="D61" s="463" t="s">
        <v>831</v>
      </c>
      <c r="E61" s="464">
        <f t="shared" si="9"/>
        <v>0</v>
      </c>
      <c r="F61" s="464">
        <f>Q69</f>
        <v>113426087.74099919</v>
      </c>
      <c r="G61" s="464">
        <f t="shared" si="10"/>
        <v>88112436.039074391</v>
      </c>
      <c r="H61" s="464">
        <f t="shared" si="10"/>
        <v>78865736.344982401</v>
      </c>
      <c r="I61" s="465">
        <f t="shared" si="10"/>
        <v>85277184.858068794</v>
      </c>
      <c r="J61" s="368"/>
      <c r="V61" s="385"/>
      <c r="AH61" s="372"/>
      <c r="AI61" s="369"/>
      <c r="AJ61" s="368"/>
    </row>
    <row r="62" spans="2:36" ht="17.25" thickBot="1" x14ac:dyDescent="0.35">
      <c r="B62" s="467" t="s">
        <v>715</v>
      </c>
      <c r="C62" s="468"/>
      <c r="D62" s="469" t="s">
        <v>831</v>
      </c>
      <c r="E62" s="470">
        <f t="shared" si="9"/>
        <v>566371776.27786875</v>
      </c>
      <c r="F62" s="470">
        <f t="shared" si="10"/>
        <v>0</v>
      </c>
      <c r="G62" s="470">
        <f t="shared" si="10"/>
        <v>0</v>
      </c>
      <c r="H62" s="470">
        <f t="shared" si="10"/>
        <v>0</v>
      </c>
      <c r="I62" s="471">
        <f t="shared" si="10"/>
        <v>0</v>
      </c>
      <c r="J62" s="368"/>
      <c r="V62" s="385"/>
      <c r="AH62" s="372"/>
      <c r="AI62" s="369"/>
      <c r="AJ62" s="368"/>
    </row>
    <row r="63" spans="2:36" ht="17.25" thickBot="1" x14ac:dyDescent="0.35">
      <c r="B63" s="439"/>
      <c r="C63" s="440"/>
      <c r="D63" s="441"/>
      <c r="E63" s="442"/>
      <c r="F63" s="442"/>
      <c r="G63" s="442"/>
      <c r="H63" s="442"/>
      <c r="I63" s="443"/>
      <c r="J63" s="368"/>
      <c r="V63" s="385"/>
      <c r="AH63" s="372"/>
      <c r="AI63" s="369"/>
      <c r="AJ63" s="368"/>
    </row>
    <row r="64" spans="2:36" ht="17.25" thickBot="1" x14ac:dyDescent="0.35">
      <c r="B64" s="444" t="s">
        <v>836</v>
      </c>
      <c r="C64" s="453"/>
      <c r="D64" s="453"/>
      <c r="E64" s="445">
        <f>E39+E37</f>
        <v>1474990833.5995262</v>
      </c>
      <c r="F64" s="445">
        <f>F39+F37</f>
        <v>1778738749.0754175</v>
      </c>
      <c r="G64" s="445">
        <f>G39+G37</f>
        <v>1400781518.6725161</v>
      </c>
      <c r="H64" s="445">
        <f>H39+H37</f>
        <v>1179769563.3193183</v>
      </c>
      <c r="I64" s="446">
        <f>I39+I37</f>
        <v>1015899024.8312377</v>
      </c>
      <c r="J64" s="368"/>
      <c r="K64" s="323" t="s">
        <v>823</v>
      </c>
      <c r="L64" s="324" t="s">
        <v>818</v>
      </c>
      <c r="M64" s="324" t="s">
        <v>646</v>
      </c>
      <c r="N64" s="332" t="s">
        <v>659</v>
      </c>
      <c r="O64" s="323" t="s">
        <v>647</v>
      </c>
      <c r="P64" s="324" t="s">
        <v>781</v>
      </c>
      <c r="Q64" s="324" t="s">
        <v>782</v>
      </c>
      <c r="R64" s="324" t="s">
        <v>783</v>
      </c>
      <c r="S64" s="324" t="s">
        <v>784</v>
      </c>
      <c r="T64" s="325" t="s">
        <v>785</v>
      </c>
      <c r="V64" s="394" t="s">
        <v>698</v>
      </c>
      <c r="AH64" s="372"/>
      <c r="AI64" s="369"/>
      <c r="AJ64" s="368"/>
    </row>
    <row r="65" spans="2:36" x14ac:dyDescent="0.3">
      <c r="B65" s="447" t="s">
        <v>618</v>
      </c>
      <c r="C65" s="448"/>
      <c r="D65" s="449" t="s">
        <v>679</v>
      </c>
      <c r="E65" s="450">
        <f>E64-SUM(E66:E70)</f>
        <v>550597137.26650703</v>
      </c>
      <c r="F65" s="450">
        <f>F64-SUM(F66:F70)</f>
        <v>1296852725.2031631</v>
      </c>
      <c r="G65" s="450">
        <f>G64-SUM(G66:G70)</f>
        <v>869804828.98250973</v>
      </c>
      <c r="H65" s="450">
        <f>H64-SUM(H66:H70)</f>
        <v>605285625.93282259</v>
      </c>
      <c r="I65" s="451">
        <f>I64-SUM(I66:I70)</f>
        <v>390660078.0966171</v>
      </c>
      <c r="J65" s="368"/>
      <c r="K65" s="424" t="s">
        <v>618</v>
      </c>
      <c r="L65" s="433" t="s">
        <v>811</v>
      </c>
      <c r="M65" s="391" t="s">
        <v>660</v>
      </c>
      <c r="N65" s="421">
        <v>1</v>
      </c>
      <c r="O65" s="392" t="s">
        <v>831</v>
      </c>
      <c r="P65" s="393">
        <v>486941333.18155122</v>
      </c>
      <c r="Q65" s="393">
        <v>997046112.50216806</v>
      </c>
      <c r="R65" s="393">
        <v>952570155.94539201</v>
      </c>
      <c r="S65" s="393">
        <v>923200997.150352</v>
      </c>
      <c r="T65" s="425">
        <v>856019683.31884801</v>
      </c>
      <c r="V65" s="394" t="s">
        <v>695</v>
      </c>
      <c r="AI65" s="369"/>
      <c r="AJ65" s="368"/>
    </row>
    <row r="66" spans="2:36" x14ac:dyDescent="0.3">
      <c r="B66" s="447" t="s">
        <v>625</v>
      </c>
      <c r="C66" s="448"/>
      <c r="D66" s="449" t="s">
        <v>679</v>
      </c>
      <c r="E66" s="450">
        <f>$L66*$N66*P66</f>
        <v>498950423.14199013</v>
      </c>
      <c r="F66" s="450">
        <f>$L66*$N66*Q66</f>
        <v>391262606.63544977</v>
      </c>
      <c r="G66" s="450">
        <f t="shared" ref="F66:I70" si="11">$L66*$N66*R66</f>
        <v>417552755.28471684</v>
      </c>
      <c r="H66" s="450">
        <f t="shared" si="11"/>
        <v>428681322.66709733</v>
      </c>
      <c r="I66" s="451">
        <f t="shared" si="11"/>
        <v>441818803.71908283</v>
      </c>
      <c r="J66" s="368"/>
      <c r="K66" s="172" t="s">
        <v>625</v>
      </c>
      <c r="L66" s="434">
        <f>0.1515*L41+0.9287</f>
        <v>1.424105</v>
      </c>
      <c r="M66" s="352" t="s">
        <v>660</v>
      </c>
      <c r="N66" s="422">
        <v>1</v>
      </c>
      <c r="O66" s="395" t="s">
        <v>831</v>
      </c>
      <c r="P66" s="373">
        <v>350360698.92458081</v>
      </c>
      <c r="Q66" s="373">
        <v>274742808.03413355</v>
      </c>
      <c r="R66" s="373">
        <v>293203629.84802163</v>
      </c>
      <c r="S66" s="373">
        <v>301018058.82789356</v>
      </c>
      <c r="T66" s="426">
        <v>310243137.77360719</v>
      </c>
      <c r="V66" s="394" t="s">
        <v>713</v>
      </c>
      <c r="AI66" s="369"/>
      <c r="AJ66" s="368"/>
    </row>
    <row r="67" spans="2:36" x14ac:dyDescent="0.3">
      <c r="B67" s="447" t="s">
        <v>684</v>
      </c>
      <c r="C67" s="448"/>
      <c r="D67" s="449" t="s">
        <v>679</v>
      </c>
      <c r="E67" s="450">
        <f>$L67*$N67*P67</f>
        <v>16633321.751775734</v>
      </c>
      <c r="F67" s="450">
        <f t="shared" si="11"/>
        <v>6149555.850917113</v>
      </c>
      <c r="G67" s="450">
        <f t="shared" si="11"/>
        <v>10270898.182717923</v>
      </c>
      <c r="H67" s="450">
        <f t="shared" si="11"/>
        <v>15892269.166859711</v>
      </c>
      <c r="I67" s="451">
        <f t="shared" si="11"/>
        <v>22849334.282164499</v>
      </c>
      <c r="J67" s="368"/>
      <c r="K67" s="172" t="s">
        <v>684</v>
      </c>
      <c r="L67" s="434">
        <f>L68*0.5/0.65</f>
        <v>0.48207230769230758</v>
      </c>
      <c r="M67" s="352" t="s">
        <v>660</v>
      </c>
      <c r="N67" s="422">
        <v>1</v>
      </c>
      <c r="O67" s="395" t="s">
        <v>831</v>
      </c>
      <c r="P67" s="373">
        <v>34503790.170814559</v>
      </c>
      <c r="Q67" s="373">
        <v>12756500.94973344</v>
      </c>
      <c r="R67" s="373">
        <v>21305721.19333088</v>
      </c>
      <c r="S67" s="373">
        <v>32966567.283104081</v>
      </c>
      <c r="T67" s="426">
        <v>47398147.368275195</v>
      </c>
      <c r="V67" s="394" t="s">
        <v>714</v>
      </c>
      <c r="AI67" s="369"/>
      <c r="AJ67" s="368"/>
    </row>
    <row r="68" spans="2:36" x14ac:dyDescent="0.3">
      <c r="B68" s="447" t="s">
        <v>621</v>
      </c>
      <c r="C68" s="448"/>
      <c r="D68" s="449" t="s">
        <v>679</v>
      </c>
      <c r="E68" s="450">
        <f>$L68*$N68*P68</f>
        <v>57234671.314766191</v>
      </c>
      <c r="F68" s="450">
        <f t="shared" si="11"/>
        <v>65981797.270155348</v>
      </c>
      <c r="G68" s="450">
        <f t="shared" si="11"/>
        <v>88787903.393971413</v>
      </c>
      <c r="H68" s="450">
        <f t="shared" si="11"/>
        <v>117052719.2156772</v>
      </c>
      <c r="I68" s="451">
        <f t="shared" si="11"/>
        <v>146667912.12985632</v>
      </c>
      <c r="J68" s="368"/>
      <c r="K68" s="172" t="s">
        <v>621</v>
      </c>
      <c r="L68" s="434">
        <f>0.695*0.955-37.031/1000</f>
        <v>0.62669399999999986</v>
      </c>
      <c r="M68" s="352" t="s">
        <v>660</v>
      </c>
      <c r="N68" s="422">
        <v>1</v>
      </c>
      <c r="O68" s="395" t="s">
        <v>831</v>
      </c>
      <c r="P68" s="373">
        <v>91327938.858144805</v>
      </c>
      <c r="Q68" s="373">
        <v>105285509.78652319</v>
      </c>
      <c r="R68" s="373">
        <v>141676645.05160642</v>
      </c>
      <c r="S68" s="373">
        <v>186778107.3628872</v>
      </c>
      <c r="T68" s="426">
        <v>234034332.75227839</v>
      </c>
      <c r="V68" s="394" t="s">
        <v>834</v>
      </c>
      <c r="AI68" s="369"/>
      <c r="AJ68" s="368"/>
    </row>
    <row r="69" spans="2:36" x14ac:dyDescent="0.3">
      <c r="B69" s="447" t="s">
        <v>786</v>
      </c>
      <c r="C69" s="452"/>
      <c r="D69" s="449" t="s">
        <v>679</v>
      </c>
      <c r="E69" s="450">
        <f>$L69*$N69*P69</f>
        <v>0</v>
      </c>
      <c r="F69" s="450">
        <f t="shared" si="11"/>
        <v>18492064.115732126</v>
      </c>
      <c r="G69" s="450">
        <f t="shared" si="11"/>
        <v>14365132.828600161</v>
      </c>
      <c r="H69" s="450">
        <f t="shared" si="11"/>
        <v>12857626.336861549</v>
      </c>
      <c r="I69" s="451">
        <f>$L69*$N69*T69</f>
        <v>13902896.603516912</v>
      </c>
      <c r="J69" s="368"/>
      <c r="K69" s="378" t="s">
        <v>832</v>
      </c>
      <c r="L69" s="434">
        <f>(8.7/100/0.45359237)*0.85</f>
        <v>0.16303184288571695</v>
      </c>
      <c r="M69" s="352" t="s">
        <v>660</v>
      </c>
      <c r="N69" s="422">
        <v>1</v>
      </c>
      <c r="O69" s="395" t="s">
        <v>831</v>
      </c>
      <c r="P69" s="352">
        <v>0</v>
      </c>
      <c r="Q69" s="373">
        <v>113426087.74099919</v>
      </c>
      <c r="R69" s="373">
        <v>88112436.039074391</v>
      </c>
      <c r="S69" s="373">
        <v>78865736.344982401</v>
      </c>
      <c r="T69" s="426">
        <v>85277184.858068794</v>
      </c>
      <c r="V69" s="352" t="s">
        <v>833</v>
      </c>
      <c r="AI69" s="369"/>
      <c r="AJ69" s="368"/>
    </row>
    <row r="70" spans="2:36" ht="17.25" thickBot="1" x14ac:dyDescent="0.35">
      <c r="B70" s="447" t="s">
        <v>715</v>
      </c>
      <c r="C70" s="448"/>
      <c r="D70" s="449" t="s">
        <v>679</v>
      </c>
      <c r="E70" s="450">
        <f>$L70*$N70*P70</f>
        <v>351575280.12448704</v>
      </c>
      <c r="F70" s="450">
        <f t="shared" si="11"/>
        <v>0</v>
      </c>
      <c r="G70" s="450">
        <f t="shared" si="11"/>
        <v>0</v>
      </c>
      <c r="H70" s="450">
        <f t="shared" si="11"/>
        <v>0</v>
      </c>
      <c r="I70" s="451">
        <f t="shared" si="11"/>
        <v>0</v>
      </c>
      <c r="J70" s="368"/>
      <c r="K70" s="176" t="s">
        <v>715</v>
      </c>
      <c r="L70" s="435">
        <f>0.955*0.65</f>
        <v>0.62075000000000002</v>
      </c>
      <c r="M70" s="382" t="s">
        <v>660</v>
      </c>
      <c r="N70" s="423">
        <v>1</v>
      </c>
      <c r="O70" s="397" t="s">
        <v>831</v>
      </c>
      <c r="P70" s="384">
        <v>566371776.27786875</v>
      </c>
      <c r="Q70" s="384">
        <v>0</v>
      </c>
      <c r="R70" s="384">
        <v>0</v>
      </c>
      <c r="S70" s="384">
        <v>0</v>
      </c>
      <c r="T70" s="427">
        <v>0</v>
      </c>
      <c r="AH70" s="375"/>
      <c r="AI70" s="387"/>
      <c r="AJ70" s="368"/>
    </row>
    <row r="71" spans="2:36" ht="17.25" thickBot="1" x14ac:dyDescent="0.35">
      <c r="B71" s="456" t="s">
        <v>835</v>
      </c>
      <c r="C71" s="457"/>
      <c r="D71" s="460" t="s">
        <v>660</v>
      </c>
      <c r="E71" s="458">
        <f>E65/E57</f>
        <v>1.1307258179728652</v>
      </c>
      <c r="F71" s="458">
        <f>F65/F57</f>
        <v>1.3006948314041424</v>
      </c>
      <c r="G71" s="458">
        <f>G65/G57</f>
        <v>0.91311366785290404</v>
      </c>
      <c r="H71" s="458">
        <f>H65/H57</f>
        <v>0.65563796811437602</v>
      </c>
      <c r="I71" s="459">
        <f>I65/I57</f>
        <v>0.45636810193662924</v>
      </c>
      <c r="J71" s="368"/>
      <c r="AH71" s="375"/>
      <c r="AI71" s="387"/>
      <c r="AJ71" s="368"/>
    </row>
    <row r="72" spans="2:36" ht="17.25" thickBot="1" x14ac:dyDescent="0.35">
      <c r="J72" s="368"/>
      <c r="AH72" s="375"/>
      <c r="AI72" s="387"/>
      <c r="AJ72" s="368"/>
    </row>
    <row r="73" spans="2:36" x14ac:dyDescent="0.3">
      <c r="B73" s="354"/>
      <c r="C73" s="355"/>
      <c r="D73" s="355"/>
      <c r="E73" s="437"/>
      <c r="F73" s="437"/>
      <c r="G73" s="437"/>
      <c r="H73" s="437"/>
      <c r="I73" s="438"/>
      <c r="J73" s="368"/>
      <c r="AH73" s="375"/>
      <c r="AI73" s="387"/>
      <c r="AJ73" s="368"/>
    </row>
    <row r="74" spans="2:36" x14ac:dyDescent="0.3">
      <c r="B74" s="83" t="s">
        <v>822</v>
      </c>
      <c r="C74" s="87"/>
      <c r="D74" s="87"/>
      <c r="E74" s="410">
        <f>(E75-$E$11*E76+(1-$E$11)*E80)/(1-$E$11)</f>
        <v>1550585765.2933598</v>
      </c>
      <c r="F74" s="410">
        <f>(F75-$E$11*F76+(1-$E$11)*F80)/(1-$E$11)</f>
        <v>1871249606.5428565</v>
      </c>
      <c r="G74" s="410">
        <f>(G75-$E$11*G76+(1-$E$11)*G80)/(1-$E$11)</f>
        <v>1468728986.324728</v>
      </c>
      <c r="H74" s="410">
        <f>(H75-$E$11*H76+(1-$E$11)*H80)/(1-$E$11)</f>
        <v>1238789249.0893295</v>
      </c>
      <c r="I74" s="411">
        <f>(I75-$E$11*I76+(1-$E$11)*I80)/(1-$E$11)</f>
        <v>1069449809.3715756</v>
      </c>
      <c r="J74" s="368"/>
      <c r="AH74" s="375"/>
      <c r="AI74" s="387"/>
      <c r="AJ74" s="368"/>
    </row>
    <row r="75" spans="2:36" x14ac:dyDescent="0.3">
      <c r="B75" s="388" t="s">
        <v>739</v>
      </c>
      <c r="C75" s="359"/>
      <c r="D75" s="429" t="s">
        <v>679</v>
      </c>
      <c r="E75" s="412">
        <f>E21*$E$15</f>
        <v>224718223.03888342</v>
      </c>
      <c r="F75" s="412">
        <f>F21*$E$15</f>
        <v>275003562.22402811</v>
      </c>
      <c r="G75" s="412">
        <f>G21*$E$15</f>
        <v>201984893.01687655</v>
      </c>
      <c r="H75" s="412">
        <f>H21*$E$15</f>
        <v>175445610.08753541</v>
      </c>
      <c r="I75" s="413">
        <f>I21*$E$15</f>
        <v>159188412.16737911</v>
      </c>
      <c r="J75" s="368"/>
      <c r="AH75" s="375"/>
      <c r="AI75" s="387"/>
      <c r="AJ75" s="368"/>
    </row>
    <row r="76" spans="2:36" x14ac:dyDescent="0.3">
      <c r="B76" s="388" t="s">
        <v>685</v>
      </c>
      <c r="C76" s="359"/>
      <c r="D76" s="429" t="s">
        <v>679</v>
      </c>
      <c r="E76" s="412">
        <f>E21/$E$7</f>
        <v>84327635.607478306</v>
      </c>
      <c r="F76" s="412">
        <f>F21/$E$7</f>
        <v>103197684.07021289</v>
      </c>
      <c r="G76" s="412">
        <f>G21/$E$7</f>
        <v>75796738.80562599</v>
      </c>
      <c r="H76" s="412">
        <f>H21/$E$7</f>
        <v>65837622.228943191</v>
      </c>
      <c r="I76" s="413">
        <f>I21/$E$7</f>
        <v>59736955.163894445</v>
      </c>
      <c r="J76" s="368"/>
      <c r="AH76" s="375"/>
      <c r="AI76" s="387"/>
      <c r="AJ76" s="368"/>
    </row>
    <row r="77" spans="2:36" x14ac:dyDescent="0.3">
      <c r="B77" s="388" t="s">
        <v>686</v>
      </c>
      <c r="C77" s="359"/>
      <c r="D77" s="429" t="s">
        <v>679</v>
      </c>
      <c r="E77" s="412">
        <f>(E79-E76)*$E$11</f>
        <v>75594931.693833545</v>
      </c>
      <c r="F77" s="412">
        <f>(F79-F76)*$E$11</f>
        <v>92510857.467438951</v>
      </c>
      <c r="G77" s="412">
        <f>(G79-G76)*$E$11</f>
        <v>67947467.65221183</v>
      </c>
      <c r="H77" s="412">
        <f>(H79-H76)*$E$11</f>
        <v>59019685.770011172</v>
      </c>
      <c r="I77" s="413">
        <f>(I79-I76)*$E$11</f>
        <v>53550784.540337913</v>
      </c>
      <c r="J77" s="368"/>
      <c r="AH77" s="375"/>
      <c r="AI77" s="387"/>
      <c r="AJ77" s="368"/>
    </row>
    <row r="78" spans="2:36" x14ac:dyDescent="0.3">
      <c r="B78" s="388" t="s">
        <v>687</v>
      </c>
      <c r="C78" s="359"/>
      <c r="D78" s="429" t="s">
        <v>679</v>
      </c>
      <c r="E78" s="412">
        <f>E79-E77</f>
        <v>224718223.03888351</v>
      </c>
      <c r="F78" s="412">
        <f>F79-F77</f>
        <v>275003562.22402811</v>
      </c>
      <c r="G78" s="412">
        <f>G79-G77</f>
        <v>201984893.01687652</v>
      </c>
      <c r="H78" s="412">
        <f>H79-H77</f>
        <v>175445610.08753538</v>
      </c>
      <c r="I78" s="413">
        <f>I79-I77</f>
        <v>159188412.16737914</v>
      </c>
      <c r="J78" s="368"/>
      <c r="AH78" s="375"/>
      <c r="AI78" s="387"/>
      <c r="AJ78" s="368"/>
    </row>
    <row r="79" spans="2:36" x14ac:dyDescent="0.3">
      <c r="B79" s="388" t="s">
        <v>688</v>
      </c>
      <c r="C79" s="359"/>
      <c r="D79" s="429" t="s">
        <v>679</v>
      </c>
      <c r="E79" s="412">
        <f>E74-E80</f>
        <v>300313154.73271704</v>
      </c>
      <c r="F79" s="412">
        <f>F74-F80</f>
        <v>367514419.69146705</v>
      </c>
      <c r="G79" s="412">
        <f>G74-G80</f>
        <v>269932360.66908836</v>
      </c>
      <c r="H79" s="412">
        <f>H74-H80</f>
        <v>234465295.85754657</v>
      </c>
      <c r="I79" s="413">
        <f>I74-I80</f>
        <v>212739196.70771706</v>
      </c>
      <c r="J79" s="368"/>
      <c r="AH79" s="375"/>
      <c r="AI79" s="387"/>
      <c r="AJ79" s="368"/>
    </row>
    <row r="80" spans="2:36" x14ac:dyDescent="0.3">
      <c r="B80" s="388" t="s">
        <v>821</v>
      </c>
      <c r="C80" s="359"/>
      <c r="D80" s="429" t="s">
        <v>679</v>
      </c>
      <c r="E80" s="412">
        <f>E39</f>
        <v>1250272610.5606427</v>
      </c>
      <c r="F80" s="412">
        <f>F39</f>
        <v>1503735186.8513894</v>
      </c>
      <c r="G80" s="412">
        <f>G39</f>
        <v>1198796625.6556396</v>
      </c>
      <c r="H80" s="412">
        <f>H39</f>
        <v>1004323953.2317829</v>
      </c>
      <c r="I80" s="413">
        <f>I39</f>
        <v>856710612.66385853</v>
      </c>
      <c r="J80" s="368"/>
      <c r="AI80" s="368"/>
      <c r="AJ80" s="368"/>
    </row>
    <row r="81" spans="2:36" x14ac:dyDescent="0.3">
      <c r="B81" s="83" t="s">
        <v>697</v>
      </c>
      <c r="C81" s="87"/>
      <c r="D81" s="87"/>
      <c r="E81" s="410">
        <f>E74</f>
        <v>1550585765.2933598</v>
      </c>
      <c r="F81" s="410">
        <f>F74</f>
        <v>1871249606.5428565</v>
      </c>
      <c r="G81" s="410">
        <f>G74</f>
        <v>1468728986.324728</v>
      </c>
      <c r="H81" s="410">
        <f>H74</f>
        <v>1238789249.0893295</v>
      </c>
      <c r="I81" s="411">
        <f>I74</f>
        <v>1069449809.3715756</v>
      </c>
      <c r="J81" s="368"/>
      <c r="AI81" s="368"/>
      <c r="AJ81" s="368"/>
    </row>
    <row r="82" spans="2:36" x14ac:dyDescent="0.3">
      <c r="B82" s="388" t="s">
        <v>618</v>
      </c>
      <c r="C82" s="348"/>
      <c r="D82" s="429" t="s">
        <v>679</v>
      </c>
      <c r="E82" s="412">
        <f>E81-SUM(E83:E87)</f>
        <v>626192068.96034062</v>
      </c>
      <c r="F82" s="412">
        <f>F81-SUM(F83:F87)</f>
        <v>1389363582.6706021</v>
      </c>
      <c r="G82" s="412">
        <f>G81-SUM(G83:G87)</f>
        <v>937752296.63472164</v>
      </c>
      <c r="H82" s="412">
        <f>H81-SUM(H83:H87)</f>
        <v>664305311.70283377</v>
      </c>
      <c r="I82" s="413">
        <f>I81-SUM(I83:I87)</f>
        <v>444210862.63695502</v>
      </c>
      <c r="J82" s="368"/>
      <c r="AI82" s="368"/>
      <c r="AJ82" s="368"/>
    </row>
    <row r="83" spans="2:36" x14ac:dyDescent="0.3">
      <c r="B83" s="388" t="s">
        <v>625</v>
      </c>
      <c r="C83" s="348"/>
      <c r="D83" s="429" t="s">
        <v>679</v>
      </c>
      <c r="E83" s="412">
        <f t="shared" ref="E83:I87" si="12">$L66*$N66*P66</f>
        <v>498950423.14199013</v>
      </c>
      <c r="F83" s="412">
        <f t="shared" si="12"/>
        <v>391262606.63544977</v>
      </c>
      <c r="G83" s="412">
        <f t="shared" si="12"/>
        <v>417552755.28471684</v>
      </c>
      <c r="H83" s="412">
        <f t="shared" si="12"/>
        <v>428681322.66709733</v>
      </c>
      <c r="I83" s="413">
        <f t="shared" si="12"/>
        <v>441818803.71908283</v>
      </c>
      <c r="J83" s="368"/>
      <c r="AI83" s="396"/>
      <c r="AJ83" s="368"/>
    </row>
    <row r="84" spans="2:36" x14ac:dyDescent="0.3">
      <c r="B84" s="388" t="s">
        <v>684</v>
      </c>
      <c r="C84" s="348"/>
      <c r="D84" s="429" t="s">
        <v>679</v>
      </c>
      <c r="E84" s="412">
        <f t="shared" si="12"/>
        <v>16633321.751775734</v>
      </c>
      <c r="F84" s="412">
        <f t="shared" si="12"/>
        <v>6149555.850917113</v>
      </c>
      <c r="G84" s="412">
        <f t="shared" si="12"/>
        <v>10270898.182717923</v>
      </c>
      <c r="H84" s="412">
        <f t="shared" si="12"/>
        <v>15892269.166859711</v>
      </c>
      <c r="I84" s="413">
        <f t="shared" si="12"/>
        <v>22849334.282164499</v>
      </c>
      <c r="J84" s="368"/>
      <c r="AI84" s="396"/>
      <c r="AJ84" s="368"/>
    </row>
    <row r="85" spans="2:36" x14ac:dyDescent="0.3">
      <c r="B85" s="388" t="s">
        <v>621</v>
      </c>
      <c r="C85" s="348"/>
      <c r="D85" s="429" t="s">
        <v>679</v>
      </c>
      <c r="E85" s="412">
        <f t="shared" si="12"/>
        <v>57234671.314766191</v>
      </c>
      <c r="F85" s="412">
        <f t="shared" si="12"/>
        <v>65981797.270155348</v>
      </c>
      <c r="G85" s="412">
        <f t="shared" si="12"/>
        <v>88787903.393971413</v>
      </c>
      <c r="H85" s="412">
        <f t="shared" si="12"/>
        <v>117052719.2156772</v>
      </c>
      <c r="I85" s="413">
        <f t="shared" si="12"/>
        <v>146667912.12985632</v>
      </c>
      <c r="AI85" s="396"/>
      <c r="AJ85" s="368"/>
    </row>
    <row r="86" spans="2:36" x14ac:dyDescent="0.3">
      <c r="B86" s="388" t="s">
        <v>786</v>
      </c>
      <c r="C86" s="359"/>
      <c r="D86" s="429" t="s">
        <v>679</v>
      </c>
      <c r="E86" s="412">
        <f t="shared" si="12"/>
        <v>0</v>
      </c>
      <c r="F86" s="412">
        <f t="shared" si="12"/>
        <v>18492064.115732126</v>
      </c>
      <c r="G86" s="412">
        <f t="shared" si="12"/>
        <v>14365132.828600161</v>
      </c>
      <c r="H86" s="412">
        <f t="shared" si="12"/>
        <v>12857626.336861549</v>
      </c>
      <c r="I86" s="413">
        <f t="shared" si="12"/>
        <v>13902896.603516912</v>
      </c>
      <c r="J86" s="368"/>
    </row>
    <row r="87" spans="2:36" x14ac:dyDescent="0.3">
      <c r="B87" s="388" t="s">
        <v>715</v>
      </c>
      <c r="C87" s="348"/>
      <c r="D87" s="429" t="s">
        <v>679</v>
      </c>
      <c r="E87" s="412">
        <f t="shared" si="12"/>
        <v>351575280.12448704</v>
      </c>
      <c r="F87" s="412">
        <f t="shared" si="12"/>
        <v>0</v>
      </c>
      <c r="G87" s="412">
        <f t="shared" si="12"/>
        <v>0</v>
      </c>
      <c r="H87" s="412">
        <f t="shared" si="12"/>
        <v>0</v>
      </c>
      <c r="I87" s="413">
        <f t="shared" si="12"/>
        <v>0</v>
      </c>
      <c r="J87" s="368"/>
    </row>
    <row r="88" spans="2:36" x14ac:dyDescent="0.3">
      <c r="B88" s="349" t="s">
        <v>764</v>
      </c>
      <c r="C88" s="359"/>
      <c r="D88" s="429"/>
      <c r="E88" s="412"/>
      <c r="F88" s="389"/>
      <c r="G88" s="389"/>
      <c r="H88" s="389"/>
      <c r="I88" s="390"/>
    </row>
    <row r="89" spans="2:36" x14ac:dyDescent="0.3">
      <c r="B89" s="350" t="s">
        <v>825</v>
      </c>
      <c r="C89" s="351"/>
      <c r="D89" s="478" t="s">
        <v>660</v>
      </c>
      <c r="E89" s="479">
        <f>E82/E57</f>
        <v>1.2859702520403442</v>
      </c>
      <c r="F89" s="479">
        <f>F82/F57</f>
        <v>1.3934797651272934</v>
      </c>
      <c r="G89" s="479">
        <f>G82/G57</f>
        <v>0.98444433806981468</v>
      </c>
      <c r="H89" s="479">
        <f>H82/H57</f>
        <v>0.71956736805240407</v>
      </c>
      <c r="I89" s="480">
        <f>I82/I57</f>
        <v>0.51892599118132254</v>
      </c>
    </row>
    <row r="90" spans="2:36" x14ac:dyDescent="0.3">
      <c r="B90" s="388" t="s">
        <v>625</v>
      </c>
      <c r="C90" s="359"/>
      <c r="D90" s="429" t="s">
        <v>660</v>
      </c>
      <c r="E90" s="477">
        <f>$L$66</f>
        <v>1.424105</v>
      </c>
      <c r="F90" s="477">
        <f>$L$66</f>
        <v>1.424105</v>
      </c>
      <c r="G90" s="477">
        <f>$L$66</f>
        <v>1.424105</v>
      </c>
      <c r="H90" s="477">
        <f>$L$66</f>
        <v>1.424105</v>
      </c>
      <c r="I90" s="481">
        <f>$L$66</f>
        <v>1.424105</v>
      </c>
      <c r="U90" s="43"/>
      <c r="V90" s="43"/>
      <c r="W90" s="43"/>
      <c r="X90" s="43"/>
    </row>
    <row r="91" spans="2:36" x14ac:dyDescent="0.3">
      <c r="B91" s="388" t="s">
        <v>684</v>
      </c>
      <c r="C91" s="359"/>
      <c r="D91" s="429" t="s">
        <v>660</v>
      </c>
      <c r="E91" s="477">
        <f>$L$67</f>
        <v>0.48207230769230758</v>
      </c>
      <c r="F91" s="477">
        <f>$L$67</f>
        <v>0.48207230769230758</v>
      </c>
      <c r="G91" s="477">
        <f>$L$67</f>
        <v>0.48207230769230758</v>
      </c>
      <c r="H91" s="477">
        <f>$L$67</f>
        <v>0.48207230769230758</v>
      </c>
      <c r="I91" s="481">
        <f>$L$67</f>
        <v>0.48207230769230758</v>
      </c>
      <c r="U91" s="43"/>
      <c r="W91" s="374"/>
    </row>
    <row r="92" spans="2:36" x14ac:dyDescent="0.3">
      <c r="B92" s="388" t="s">
        <v>621</v>
      </c>
      <c r="C92" s="359"/>
      <c r="D92" s="429" t="s">
        <v>660</v>
      </c>
      <c r="E92" s="477">
        <f>$L$68</f>
        <v>0.62669399999999986</v>
      </c>
      <c r="F92" s="477">
        <f>$L$68</f>
        <v>0.62669399999999986</v>
      </c>
      <c r="G92" s="477">
        <f>$L$68</f>
        <v>0.62669399999999986</v>
      </c>
      <c r="H92" s="477">
        <f>$L$68</f>
        <v>0.62669399999999986</v>
      </c>
      <c r="I92" s="481">
        <f>$L$68</f>
        <v>0.62669399999999986</v>
      </c>
      <c r="U92" s="373"/>
      <c r="W92" s="374"/>
    </row>
    <row r="93" spans="2:36" x14ac:dyDescent="0.3">
      <c r="B93" s="388" t="s">
        <v>786</v>
      </c>
      <c r="C93" s="359"/>
      <c r="D93" s="429" t="s">
        <v>660</v>
      </c>
      <c r="E93" s="477">
        <f>$L$69</f>
        <v>0.16303184288571695</v>
      </c>
      <c r="F93" s="477">
        <f>$L$69</f>
        <v>0.16303184288571695</v>
      </c>
      <c r="G93" s="477">
        <f>$L$69</f>
        <v>0.16303184288571695</v>
      </c>
      <c r="H93" s="477">
        <f>$L$69</f>
        <v>0.16303184288571695</v>
      </c>
      <c r="I93" s="481">
        <f>$L$69</f>
        <v>0.16303184288571695</v>
      </c>
      <c r="U93" s="373"/>
      <c r="W93" s="374"/>
    </row>
    <row r="94" spans="2:36" ht="17.25" thickBot="1" x14ac:dyDescent="0.35">
      <c r="B94" s="398" t="s">
        <v>715</v>
      </c>
      <c r="C94" s="399"/>
      <c r="D94" s="430" t="s">
        <v>660</v>
      </c>
      <c r="E94" s="482">
        <f>$L$70</f>
        <v>0.62075000000000002</v>
      </c>
      <c r="F94" s="482">
        <f>$L$70</f>
        <v>0.62075000000000002</v>
      </c>
      <c r="G94" s="482">
        <f>$L$70</f>
        <v>0.62075000000000002</v>
      </c>
      <c r="H94" s="482">
        <f>$L$70</f>
        <v>0.62075000000000002</v>
      </c>
      <c r="I94" s="483">
        <f>$L$70</f>
        <v>0.62075000000000002</v>
      </c>
      <c r="U94" s="330"/>
      <c r="W94" s="374"/>
    </row>
    <row r="95" spans="2:36" x14ac:dyDescent="0.3">
      <c r="E95" s="352"/>
      <c r="F95" s="352"/>
      <c r="U95" s="373"/>
      <c r="W95" s="374"/>
    </row>
    <row r="96" spans="2:36" x14ac:dyDescent="0.3">
      <c r="E96" s="415"/>
      <c r="F96" s="415"/>
      <c r="G96" s="415"/>
      <c r="H96" s="415"/>
      <c r="I96" s="415"/>
      <c r="U96" s="373"/>
      <c r="W96" s="374"/>
    </row>
    <row r="97" spans="4:23" x14ac:dyDescent="0.3">
      <c r="D97" s="352" t="s">
        <v>705</v>
      </c>
      <c r="E97" s="352"/>
      <c r="F97" s="352"/>
      <c r="U97" s="373"/>
      <c r="W97" s="374"/>
    </row>
    <row r="98" spans="4:23" x14ac:dyDescent="0.3">
      <c r="E98" s="352" t="s">
        <v>781</v>
      </c>
      <c r="F98" s="352" t="s">
        <v>782</v>
      </c>
      <c r="G98" s="352" t="s">
        <v>783</v>
      </c>
      <c r="H98" s="352" t="s">
        <v>784</v>
      </c>
      <c r="I98" s="352" t="s">
        <v>785</v>
      </c>
      <c r="U98" s="373"/>
    </row>
    <row r="99" spans="4:23" x14ac:dyDescent="0.3">
      <c r="D99" s="352" t="s">
        <v>836</v>
      </c>
      <c r="E99" s="472">
        <f t="shared" ref="E99:I100" si="13">E64</f>
        <v>1474990833.5995262</v>
      </c>
      <c r="F99" s="472">
        <f t="shared" si="13"/>
        <v>1778738749.0754175</v>
      </c>
      <c r="G99" s="472">
        <f t="shared" si="13"/>
        <v>1400781518.6725161</v>
      </c>
      <c r="H99" s="472">
        <f t="shared" si="13"/>
        <v>1179769563.3193183</v>
      </c>
      <c r="I99" s="472">
        <f t="shared" si="13"/>
        <v>1015899024.8312377</v>
      </c>
      <c r="U99" s="373"/>
    </row>
    <row r="100" spans="4:23" x14ac:dyDescent="0.3">
      <c r="D100" s="352" t="s">
        <v>583</v>
      </c>
      <c r="E100" s="472">
        <f t="shared" si="13"/>
        <v>550597137.26650703</v>
      </c>
      <c r="F100" s="472">
        <f t="shared" si="13"/>
        <v>1296852725.2031631</v>
      </c>
      <c r="G100" s="472">
        <f t="shared" si="13"/>
        <v>869804828.98250973</v>
      </c>
      <c r="H100" s="472">
        <f t="shared" si="13"/>
        <v>605285625.93282259</v>
      </c>
      <c r="I100" s="472">
        <f t="shared" si="13"/>
        <v>390660078.0966171</v>
      </c>
      <c r="U100" s="373"/>
    </row>
    <row r="101" spans="4:23" x14ac:dyDescent="0.3">
      <c r="D101" s="352" t="s">
        <v>587</v>
      </c>
      <c r="E101" s="367">
        <f t="shared" ref="E101:I105" si="14">-E66</f>
        <v>-498950423.14199013</v>
      </c>
      <c r="F101" s="367">
        <f t="shared" si="14"/>
        <v>-391262606.63544977</v>
      </c>
      <c r="G101" s="367">
        <f t="shared" si="14"/>
        <v>-417552755.28471684</v>
      </c>
      <c r="H101" s="367">
        <f t="shared" si="14"/>
        <v>-428681322.66709733</v>
      </c>
      <c r="I101" s="367">
        <f t="shared" si="14"/>
        <v>-441818803.71908283</v>
      </c>
    </row>
    <row r="102" spans="4:23" x14ac:dyDescent="0.3">
      <c r="D102" s="352" t="s">
        <v>837</v>
      </c>
      <c r="E102" s="367">
        <f t="shared" si="14"/>
        <v>-16633321.751775734</v>
      </c>
      <c r="F102" s="367">
        <f t="shared" si="14"/>
        <v>-6149555.850917113</v>
      </c>
      <c r="G102" s="367">
        <f t="shared" si="14"/>
        <v>-10270898.182717923</v>
      </c>
      <c r="H102" s="367">
        <f t="shared" si="14"/>
        <v>-15892269.166859711</v>
      </c>
      <c r="I102" s="367">
        <f t="shared" si="14"/>
        <v>-22849334.282164499</v>
      </c>
    </row>
    <row r="103" spans="4:23" x14ac:dyDescent="0.3">
      <c r="D103" s="352" t="s">
        <v>585</v>
      </c>
      <c r="E103" s="367">
        <f t="shared" si="14"/>
        <v>-57234671.314766191</v>
      </c>
      <c r="F103" s="367">
        <f t="shared" si="14"/>
        <v>-65981797.270155348</v>
      </c>
      <c r="G103" s="367">
        <f t="shared" si="14"/>
        <v>-88787903.393971413</v>
      </c>
      <c r="H103" s="367">
        <f t="shared" si="14"/>
        <v>-117052719.2156772</v>
      </c>
      <c r="I103" s="367">
        <f t="shared" si="14"/>
        <v>-146667912.12985632</v>
      </c>
    </row>
    <row r="104" spans="4:23" x14ac:dyDescent="0.3">
      <c r="D104" s="352" t="s">
        <v>791</v>
      </c>
      <c r="E104" s="367">
        <f t="shared" si="14"/>
        <v>0</v>
      </c>
      <c r="F104" s="367">
        <f t="shared" si="14"/>
        <v>-18492064.115732126</v>
      </c>
      <c r="G104" s="367">
        <f t="shared" si="14"/>
        <v>-14365132.828600161</v>
      </c>
      <c r="H104" s="367">
        <f t="shared" si="14"/>
        <v>-12857626.336861549</v>
      </c>
      <c r="I104" s="367">
        <f t="shared" si="14"/>
        <v>-13902896.603516912</v>
      </c>
    </row>
    <row r="105" spans="4:23" x14ac:dyDescent="0.3">
      <c r="D105" s="352" t="s">
        <v>736</v>
      </c>
      <c r="E105" s="367">
        <f t="shared" si="14"/>
        <v>-351575280.12448704</v>
      </c>
      <c r="F105" s="367">
        <f t="shared" si="14"/>
        <v>0</v>
      </c>
      <c r="G105" s="367">
        <f t="shared" si="14"/>
        <v>0</v>
      </c>
      <c r="H105" s="367">
        <f t="shared" si="14"/>
        <v>0</v>
      </c>
      <c r="I105" s="367">
        <f t="shared" si="14"/>
        <v>0</v>
      </c>
    </row>
    <row r="106" spans="4:23" x14ac:dyDescent="0.3">
      <c r="E106" s="352"/>
      <c r="F106" s="352"/>
    </row>
    <row r="107" spans="4:23" x14ac:dyDescent="0.3">
      <c r="D107" s="352" t="s">
        <v>838</v>
      </c>
      <c r="E107" s="352"/>
      <c r="F107" s="352"/>
    </row>
    <row r="108" spans="4:23" x14ac:dyDescent="0.3">
      <c r="E108" s="352" t="s">
        <v>781</v>
      </c>
      <c r="F108" s="352" t="s">
        <v>782</v>
      </c>
      <c r="G108" s="352" t="s">
        <v>783</v>
      </c>
      <c r="H108" s="352" t="s">
        <v>784</v>
      </c>
      <c r="I108" s="352" t="s">
        <v>785</v>
      </c>
    </row>
    <row r="109" spans="4:23" x14ac:dyDescent="0.3">
      <c r="D109" s="352" t="s">
        <v>839</v>
      </c>
      <c r="E109" s="473">
        <f>E71/E64*E37</f>
        <v>0.1722686614526035</v>
      </c>
      <c r="F109" s="473">
        <f>F71/F64*F37</f>
        <v>0.20109513675825069</v>
      </c>
      <c r="G109" s="473">
        <f>G71/G64*G37</f>
        <v>0.13166590510724394</v>
      </c>
      <c r="H109" s="473">
        <f>H71/H64*H37</f>
        <v>9.750107723472852E-2</v>
      </c>
      <c r="I109" s="473">
        <f>I71/I64*I37</f>
        <v>7.1511549608191699E-2</v>
      </c>
    </row>
    <row r="110" spans="4:23" x14ac:dyDescent="0.3">
      <c r="D110" s="352" t="s">
        <v>840</v>
      </c>
      <c r="E110" s="473">
        <f>E71/E64*E41</f>
        <v>0.23233016619264482</v>
      </c>
      <c r="F110" s="473">
        <f>F71/F64*F41</f>
        <v>0.22161587363263863</v>
      </c>
      <c r="G110" s="473">
        <f>G71/G64*G41</f>
        <v>0.19755683334648511</v>
      </c>
      <c r="H110" s="473">
        <f>H71/H64*H41</f>
        <v>0.16842421192094459</v>
      </c>
      <c r="I110" s="473">
        <f>I71/I64*I41</f>
        <v>0.13614520620375997</v>
      </c>
    </row>
    <row r="111" spans="4:23" x14ac:dyDescent="0.3">
      <c r="D111" s="352" t="s">
        <v>658</v>
      </c>
      <c r="E111" s="473">
        <f>E71/E64*SUM(E42:E48)</f>
        <v>0.71838684601921843</v>
      </c>
      <c r="F111" s="473">
        <f>F71/F64*SUM(F42:F48)</f>
        <v>0.86913370089039554</v>
      </c>
      <c r="G111" s="473">
        <f>G71/G64*SUM(G42:G48)</f>
        <v>0.57790044900915505</v>
      </c>
      <c r="H111" s="473">
        <f>H71/H64*SUM(H42:H48)</f>
        <v>0.38519396316419285</v>
      </c>
      <c r="I111" s="473">
        <f>I71/I64*SUM(I42:I48)</f>
        <v>0.24535000431574067</v>
      </c>
    </row>
    <row r="112" spans="4:23" x14ac:dyDescent="0.3">
      <c r="D112" s="352" t="s">
        <v>841</v>
      </c>
      <c r="E112" s="473">
        <f>E71/E64*E49</f>
        <v>7.7401443083982835E-3</v>
      </c>
      <c r="F112" s="473">
        <f>F71/F64*F49</f>
        <v>8.8501201228573401E-3</v>
      </c>
      <c r="G112" s="473">
        <f>G71/G64*G49</f>
        <v>5.9904803900199706E-3</v>
      </c>
      <c r="H112" s="473">
        <f>H71/H64*H49</f>
        <v>4.5187157945102098E-3</v>
      </c>
      <c r="I112" s="473">
        <f>I71/I64*I49</f>
        <v>3.3613418089369186E-3</v>
      </c>
    </row>
    <row r="113" spans="4:9" x14ac:dyDescent="0.3">
      <c r="D113" s="352" t="s">
        <v>842</v>
      </c>
      <c r="E113" s="473">
        <f>-E$71/E$64*E66</f>
        <v>-0.38249466537926508</v>
      </c>
      <c r="F113" s="473">
        <f>-F$71/F$64*F66</f>
        <v>-0.28610904801898146</v>
      </c>
      <c r="G113" s="473">
        <f>-G$71/G$64*G66</f>
        <v>-0.27218600675245658</v>
      </c>
      <c r="H113" s="473">
        <f>-H$71/H$64*H66</f>
        <v>-0.23823275332791988</v>
      </c>
      <c r="I113" s="473">
        <f>-I$71/I$64*I66</f>
        <v>-0.19847642720858535</v>
      </c>
    </row>
    <row r="114" spans="4:9" x14ac:dyDescent="0.3">
      <c r="D114" s="352" t="s">
        <v>843</v>
      </c>
      <c r="E114" s="473">
        <f t="shared" ref="E114:I117" si="15">-E$71/E$64*E67</f>
        <v>-1.2751080152467538E-2</v>
      </c>
      <c r="F114" s="473">
        <f t="shared" si="15"/>
        <v>-4.4968354767537886E-3</v>
      </c>
      <c r="G114" s="473">
        <f t="shared" si="15"/>
        <v>-6.6951893544776667E-3</v>
      </c>
      <c r="H114" s="473">
        <f t="shared" si="15"/>
        <v>-8.8318730955991524E-3</v>
      </c>
      <c r="I114" s="473">
        <f t="shared" si="15"/>
        <v>-1.0264511592182331E-2</v>
      </c>
    </row>
    <row r="115" spans="4:9" x14ac:dyDescent="0.3">
      <c r="D115" s="352" t="s">
        <v>844</v>
      </c>
      <c r="E115" s="473">
        <f t="shared" si="15"/>
        <v>-4.3876015406051183E-2</v>
      </c>
      <c r="F115" s="473">
        <f t="shared" si="15"/>
        <v>-4.8248896989879546E-2</v>
      </c>
      <c r="G115" s="473">
        <f t="shared" si="15"/>
        <v>-5.7877297100456984E-2</v>
      </c>
      <c r="H115" s="473">
        <f t="shared" si="15"/>
        <v>-6.5050166892682809E-2</v>
      </c>
      <c r="I115" s="473">
        <f t="shared" si="15"/>
        <v>-6.5887017348825683E-2</v>
      </c>
    </row>
    <row r="116" spans="4:9" x14ac:dyDescent="0.3">
      <c r="D116" s="352" t="s">
        <v>845</v>
      </c>
      <c r="E116" s="473">
        <f t="shared" si="15"/>
        <v>0</v>
      </c>
      <c r="F116" s="473">
        <f t="shared" si="15"/>
        <v>-1.35222399747176E-2</v>
      </c>
      <c r="G116" s="473">
        <f t="shared" si="15"/>
        <v>-9.3640578144890789E-3</v>
      </c>
      <c r="H116" s="473">
        <f t="shared" si="15"/>
        <v>-7.1454191296102549E-3</v>
      </c>
      <c r="I116" s="473">
        <f t="shared" si="15"/>
        <v>-6.245540530391034E-3</v>
      </c>
    </row>
    <row r="117" spans="4:9" x14ac:dyDescent="0.3">
      <c r="D117" s="352" t="s">
        <v>846</v>
      </c>
      <c r="E117" s="473">
        <f t="shared" si="15"/>
        <v>-0.26951709606741486</v>
      </c>
      <c r="F117" s="473">
        <f t="shared" si="15"/>
        <v>0</v>
      </c>
      <c r="G117" s="473">
        <f t="shared" si="15"/>
        <v>0</v>
      </c>
      <c r="H117" s="473">
        <f t="shared" si="15"/>
        <v>0</v>
      </c>
      <c r="I117" s="473">
        <f t="shared" si="15"/>
        <v>0</v>
      </c>
    </row>
    <row r="118" spans="4:9" x14ac:dyDescent="0.3">
      <c r="E118" s="367"/>
      <c r="F118" s="367"/>
      <c r="G118" s="367"/>
      <c r="H118" s="367"/>
      <c r="I118" s="367"/>
    </row>
    <row r="119" spans="4:9" x14ac:dyDescent="0.3">
      <c r="E119" s="367"/>
      <c r="F119" s="367"/>
      <c r="G119" s="367"/>
      <c r="H119" s="367"/>
      <c r="I119" s="367"/>
    </row>
    <row r="120" spans="4:9" x14ac:dyDescent="0.3">
      <c r="D120" s="352" t="s">
        <v>847</v>
      </c>
      <c r="E120" s="352"/>
      <c r="F120" s="352"/>
    </row>
    <row r="121" spans="4:9" x14ac:dyDescent="0.3">
      <c r="E121" s="352" t="s">
        <v>781</v>
      </c>
      <c r="F121" s="352" t="s">
        <v>782</v>
      </c>
      <c r="G121" s="352" t="s">
        <v>783</v>
      </c>
      <c r="H121" s="352" t="s">
        <v>784</v>
      </c>
      <c r="I121" s="352" t="s">
        <v>785</v>
      </c>
    </row>
    <row r="122" spans="4:9" x14ac:dyDescent="0.3">
      <c r="D122" s="352" t="s">
        <v>849</v>
      </c>
      <c r="E122" s="473">
        <f>E89/E74*E75</f>
        <v>0.18636889128457726</v>
      </c>
      <c r="F122" s="473">
        <f>F89/F74*F75</f>
        <v>0.20478930120129388</v>
      </c>
      <c r="G122" s="473">
        <f>G89/G74*G75</f>
        <v>0.13538432628314606</v>
      </c>
      <c r="H122" s="473">
        <f>H89/H74*H75</f>
        <v>0.10190993825611785</v>
      </c>
      <c r="I122" s="473">
        <f>I89/I74*I75</f>
        <v>7.7242525871391007E-2</v>
      </c>
    </row>
    <row r="123" spans="4:9" x14ac:dyDescent="0.3">
      <c r="D123" s="352" t="s">
        <v>840</v>
      </c>
      <c r="E123" s="473">
        <f>E89/E74*E41</f>
        <v>0.25134644409597229</v>
      </c>
      <c r="F123" s="473">
        <f>F89/F74*F41</f>
        <v>0.22568700878580666</v>
      </c>
      <c r="G123" s="473">
        <f>G89/G74*G41</f>
        <v>0.20313610242120414</v>
      </c>
      <c r="H123" s="473">
        <f>H89/H74*H41</f>
        <v>0.17604011693508917</v>
      </c>
      <c r="I123" s="473">
        <f>I89/I74*I41</f>
        <v>0.14705596047180547</v>
      </c>
    </row>
    <row r="124" spans="4:9" x14ac:dyDescent="0.3">
      <c r="D124" s="352" t="s">
        <v>658</v>
      </c>
      <c r="E124" s="473">
        <f>E89/E74*SUM(E42:E48)</f>
        <v>0.77718697572200035</v>
      </c>
      <c r="F124" s="473">
        <f>F89/F74*SUM(F42:F48)</f>
        <v>0.88509988916246529</v>
      </c>
      <c r="G124" s="473">
        <f>G89/G74*SUM(G42:G48)</f>
        <v>0.59422113024708589</v>
      </c>
      <c r="H124" s="473">
        <f>H89/H74*SUM(H42:H48)</f>
        <v>0.40261189020699467</v>
      </c>
      <c r="I124" s="473">
        <f>I89/I74*SUM(I42:I48)</f>
        <v>0.26501249322296311</v>
      </c>
    </row>
    <row r="125" spans="4:9" x14ac:dyDescent="0.3">
      <c r="D125" s="352" t="s">
        <v>841</v>
      </c>
      <c r="E125" s="473">
        <f>E89/E74*E49</f>
        <v>8.3736769124180023E-3</v>
      </c>
      <c r="F125" s="473">
        <f>F89/F74*F49</f>
        <v>9.0126988883191018E-3</v>
      </c>
      <c r="G125" s="473">
        <f>G89/G74*G49</f>
        <v>6.159659564521777E-3</v>
      </c>
      <c r="H125" s="473">
        <f>H89/H74*H49</f>
        <v>4.7230457414008508E-3</v>
      </c>
      <c r="I125" s="473">
        <f>I89/I74*I49</f>
        <v>3.6307216535223343E-3</v>
      </c>
    </row>
    <row r="126" spans="4:9" x14ac:dyDescent="0.3">
      <c r="D126" s="352" t="s">
        <v>693</v>
      </c>
      <c r="E126" s="473">
        <f>E89/E74*E77</f>
        <v>6.2694264025376076E-2</v>
      </c>
      <c r="F126" s="473">
        <f>F89/F74*F77</f>
        <v>6.8890867089408211E-2</v>
      </c>
      <c r="G126" s="473">
        <f>G89/G74*G77</f>
        <v>4.5543119553856676E-2</v>
      </c>
      <c r="H126" s="473">
        <f>H89/H74*H77</f>
        <v>3.4282376912801601E-2</v>
      </c>
      <c r="I126" s="473">
        <f>I89/I74*I77</f>
        <v>2.5984289961640608E-2</v>
      </c>
    </row>
    <row r="127" spans="4:9" x14ac:dyDescent="0.3">
      <c r="D127" s="352" t="s">
        <v>842</v>
      </c>
      <c r="E127" s="473">
        <f>-E$89/E$81*E83</f>
        <v>-0.41380194231445727</v>
      </c>
      <c r="F127" s="473">
        <f>-F$89/F$81*F83</f>
        <v>-0.29136493778868416</v>
      </c>
      <c r="G127" s="473">
        <f>-G$89/G$81*G83</f>
        <v>-0.2798729034510985</v>
      </c>
      <c r="H127" s="473">
        <f>-H$89/H$81*H83</f>
        <v>-0.24900530200076273</v>
      </c>
      <c r="I127" s="473">
        <f>-I$89/I$81*I83</f>
        <v>-0.21438244098355061</v>
      </c>
    </row>
    <row r="128" spans="4:9" x14ac:dyDescent="0.3">
      <c r="D128" s="352" t="s">
        <v>843</v>
      </c>
      <c r="E128" s="473">
        <f t="shared" ref="E128:I131" si="16">-E$89/E$81*E84</f>
        <v>-1.3794759015701626E-2</v>
      </c>
      <c r="F128" s="473">
        <f t="shared" si="16"/>
        <v>-4.5794433905613184E-3</v>
      </c>
      <c r="G128" s="473">
        <f t="shared" si="16"/>
        <v>-6.884270452215813E-3</v>
      </c>
      <c r="H128" s="473">
        <f t="shared" si="16"/>
        <v>-9.2312379245979327E-3</v>
      </c>
      <c r="I128" s="473">
        <f t="shared" si="16"/>
        <v>-1.1087115389896604E-2</v>
      </c>
    </row>
    <row r="129" spans="4:34" x14ac:dyDescent="0.3">
      <c r="D129" s="352" t="s">
        <v>844</v>
      </c>
      <c r="E129" s="473">
        <f t="shared" si="16"/>
        <v>-4.7467277427360587E-2</v>
      </c>
      <c r="F129" s="473">
        <f t="shared" si="16"/>
        <v>-4.9135240451732329E-2</v>
      </c>
      <c r="G129" s="473">
        <f t="shared" si="16"/>
        <v>-5.9511829343006972E-2</v>
      </c>
      <c r="H129" s="473">
        <f t="shared" si="16"/>
        <v>-6.7991643575628286E-2</v>
      </c>
      <c r="I129" s="473">
        <f t="shared" si="16"/>
        <v>-7.1167240397381565E-2</v>
      </c>
    </row>
    <row r="130" spans="4:34" x14ac:dyDescent="0.3">
      <c r="D130" s="352" t="s">
        <v>845</v>
      </c>
      <c r="E130" s="473">
        <f t="shared" si="16"/>
        <v>0</v>
      </c>
      <c r="F130" s="473">
        <f t="shared" si="16"/>
        <v>-1.3770646668734031E-2</v>
      </c>
      <c r="G130" s="473">
        <f t="shared" si="16"/>
        <v>-9.628511325376404E-3</v>
      </c>
      <c r="H130" s="473">
        <f t="shared" si="16"/>
        <v>-7.4685248918797955E-3</v>
      </c>
      <c r="I130" s="473">
        <f t="shared" si="16"/>
        <v>-6.7460617011197996E-3</v>
      </c>
    </row>
    <row r="131" spans="4:34" x14ac:dyDescent="0.3">
      <c r="D131" s="352" t="s">
        <v>846</v>
      </c>
      <c r="E131" s="473">
        <f t="shared" si="16"/>
        <v>-0.29157713279233166</v>
      </c>
      <c r="F131" s="473">
        <f t="shared" si="16"/>
        <v>0</v>
      </c>
      <c r="G131" s="473">
        <f t="shared" si="16"/>
        <v>0</v>
      </c>
      <c r="H131" s="473">
        <f t="shared" si="16"/>
        <v>0</v>
      </c>
      <c r="I131" s="473">
        <f t="shared" si="16"/>
        <v>0</v>
      </c>
    </row>
    <row r="132" spans="4:34" x14ac:dyDescent="0.3">
      <c r="E132" s="367"/>
      <c r="F132" s="367"/>
      <c r="G132" s="367"/>
      <c r="H132" s="367"/>
      <c r="I132" s="367"/>
    </row>
    <row r="133" spans="4:34" x14ac:dyDescent="0.3">
      <c r="E133" s="367"/>
      <c r="F133" s="367"/>
      <c r="G133" s="367"/>
      <c r="H133" s="367"/>
      <c r="I133" s="367"/>
    </row>
    <row r="134" spans="4:34" x14ac:dyDescent="0.3">
      <c r="E134" s="367"/>
      <c r="F134" s="367"/>
      <c r="G134" s="367"/>
      <c r="H134" s="367"/>
      <c r="I134" s="367"/>
    </row>
    <row r="135" spans="4:34" x14ac:dyDescent="0.3">
      <c r="E135" s="367"/>
      <c r="F135" s="367"/>
      <c r="G135" s="367"/>
      <c r="H135" s="367"/>
      <c r="I135" s="367"/>
    </row>
    <row r="136" spans="4:34" x14ac:dyDescent="0.3">
      <c r="E136" s="367"/>
      <c r="F136" s="367"/>
      <c r="G136" s="367"/>
      <c r="H136" s="367"/>
      <c r="I136" s="367"/>
    </row>
    <row r="137" spans="4:34" x14ac:dyDescent="0.3">
      <c r="E137" s="474"/>
      <c r="F137" s="474"/>
      <c r="G137" s="474"/>
      <c r="H137" s="353"/>
      <c r="I137" s="353"/>
    </row>
    <row r="138" spans="4:34" x14ac:dyDescent="0.3">
      <c r="D138" s="43"/>
      <c r="E138" s="334"/>
      <c r="F138" s="334"/>
    </row>
    <row r="139" spans="4:34" x14ac:dyDescent="0.3">
      <c r="E139" s="475"/>
      <c r="F139" s="475"/>
    </row>
    <row r="140" spans="4:34" x14ac:dyDescent="0.3">
      <c r="E140" s="475"/>
      <c r="F140" s="475"/>
    </row>
    <row r="141" spans="4:34" x14ac:dyDescent="0.3">
      <c r="E141" s="475"/>
      <c r="F141" s="475"/>
      <c r="AF141" s="352" t="s">
        <v>763</v>
      </c>
      <c r="AG141" s="352" t="s">
        <v>764</v>
      </c>
      <c r="AH141" s="352" t="s">
        <v>765</v>
      </c>
    </row>
    <row r="142" spans="4:34" x14ac:dyDescent="0.3">
      <c r="E142" s="475"/>
      <c r="F142" s="475"/>
      <c r="AE142" s="352" t="s">
        <v>625</v>
      </c>
      <c r="AF142" s="368">
        <v>350.36069892458079</v>
      </c>
      <c r="AG142" s="385">
        <v>1.424105</v>
      </c>
      <c r="AH142" s="368">
        <v>498.95042314199014</v>
      </c>
    </row>
    <row r="143" spans="4:34" x14ac:dyDescent="0.3">
      <c r="E143" s="475"/>
      <c r="F143" s="475"/>
      <c r="Q143" s="374"/>
      <c r="AE143" s="352" t="s">
        <v>684</v>
      </c>
      <c r="AF143" s="368">
        <v>34.503790170814561</v>
      </c>
      <c r="AG143" s="385">
        <v>0.4469460826160675</v>
      </c>
      <c r="AH143" s="368">
        <v>15.421333852252342</v>
      </c>
    </row>
    <row r="144" spans="4:34" x14ac:dyDescent="0.3">
      <c r="E144" s="475"/>
      <c r="F144" s="475"/>
      <c r="Q144" s="373"/>
      <c r="AE144" s="352" t="s">
        <v>621</v>
      </c>
      <c r="AF144" s="368">
        <v>91.327938858144805</v>
      </c>
      <c r="AG144" s="385">
        <v>0.58102990740088778</v>
      </c>
      <c r="AH144" s="368">
        <v>53.064263857861818</v>
      </c>
    </row>
    <row r="145" spans="4:34" x14ac:dyDescent="0.3">
      <c r="E145" s="475"/>
      <c r="F145" s="475"/>
      <c r="AE145" s="352" t="s">
        <v>715</v>
      </c>
      <c r="AF145" s="368">
        <v>566.37177627786878</v>
      </c>
      <c r="AG145" s="385">
        <v>0.57804257526701741</v>
      </c>
      <c r="AH145" s="368">
        <v>327.3870001182143</v>
      </c>
    </row>
    <row r="146" spans="4:34" x14ac:dyDescent="0.3">
      <c r="E146" s="475"/>
      <c r="F146" s="475"/>
      <c r="AE146" s="352" t="s">
        <v>618</v>
      </c>
      <c r="AF146" s="368">
        <v>486.94133318155122</v>
      </c>
      <c r="AG146" s="385">
        <v>0.88929626964156527</v>
      </c>
      <c r="AH146" s="368">
        <v>433.03511113264403</v>
      </c>
    </row>
    <row r="147" spans="4:34" x14ac:dyDescent="0.3">
      <c r="E147" s="475"/>
      <c r="F147" s="475"/>
    </row>
    <row r="148" spans="4:34" x14ac:dyDescent="0.3">
      <c r="E148" s="475"/>
      <c r="F148" s="475"/>
    </row>
    <row r="149" spans="4:34" x14ac:dyDescent="0.3">
      <c r="E149" s="474"/>
      <c r="F149" s="474"/>
    </row>
    <row r="150" spans="4:34" x14ac:dyDescent="0.3">
      <c r="D150" s="564"/>
      <c r="E150" s="565"/>
      <c r="F150" s="330"/>
    </row>
    <row r="151" spans="4:34" x14ac:dyDescent="0.3">
      <c r="E151" s="475"/>
      <c r="F151" s="475"/>
    </row>
    <row r="152" spans="4:34" x14ac:dyDescent="0.3">
      <c r="E152" s="475"/>
      <c r="F152" s="475"/>
    </row>
    <row r="153" spans="4:34" x14ac:dyDescent="0.3">
      <c r="E153" s="475"/>
      <c r="F153" s="475"/>
    </row>
    <row r="154" spans="4:34" x14ac:dyDescent="0.3">
      <c r="E154" s="475"/>
      <c r="F154" s="475"/>
    </row>
    <row r="155" spans="4:34" x14ac:dyDescent="0.3">
      <c r="E155" s="475"/>
      <c r="F155" s="475"/>
    </row>
    <row r="156" spans="4:34" x14ac:dyDescent="0.3">
      <c r="E156" s="475"/>
      <c r="F156" s="475"/>
    </row>
    <row r="157" spans="4:34" x14ac:dyDescent="0.3">
      <c r="E157" s="475"/>
      <c r="F157" s="475"/>
    </row>
    <row r="158" spans="4:34" x14ac:dyDescent="0.3">
      <c r="E158" s="475"/>
      <c r="F158" s="475"/>
    </row>
    <row r="159" spans="4:34" x14ac:dyDescent="0.3">
      <c r="E159" s="476"/>
      <c r="F159" s="476"/>
    </row>
    <row r="160" spans="4:34" x14ac:dyDescent="0.3">
      <c r="E160" s="474"/>
      <c r="F160" s="474"/>
    </row>
    <row r="162" spans="2:6" x14ac:dyDescent="0.3">
      <c r="E162" s="352"/>
      <c r="F162" s="352"/>
    </row>
    <row r="163" spans="2:6" x14ac:dyDescent="0.3">
      <c r="B163" s="385"/>
      <c r="C163" s="373"/>
    </row>
    <row r="164" spans="2:6" x14ac:dyDescent="0.3">
      <c r="B164" s="385"/>
      <c r="C164" s="373"/>
    </row>
    <row r="165" spans="2:6" x14ac:dyDescent="0.3">
      <c r="B165" s="385"/>
      <c r="C165" s="373"/>
    </row>
    <row r="166" spans="2:6" x14ac:dyDescent="0.3">
      <c r="B166" s="385"/>
      <c r="C166" s="373"/>
    </row>
    <row r="167" spans="2:6" x14ac:dyDescent="0.3">
      <c r="B167" s="385"/>
      <c r="C167" s="386"/>
    </row>
    <row r="168" spans="2:6" x14ac:dyDescent="0.3">
      <c r="B168" s="385"/>
      <c r="C168" s="386"/>
    </row>
  </sheetData>
  <mergeCells count="4">
    <mergeCell ref="O39:T39"/>
    <mergeCell ref="B3:E3"/>
    <mergeCell ref="D150:E150"/>
    <mergeCell ref="K39:N39"/>
  </mergeCells>
  <phoneticPr fontId="5" type="noConversion"/>
  <pageMargins left="0.7" right="0.7" top="0.75" bottom="0.75" header="0.3" footer="0.3"/>
  <pageSetup paperSize="9"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0"/>
  <sheetViews>
    <sheetView topLeftCell="A79" zoomScale="85" zoomScaleNormal="85" workbookViewId="0">
      <selection activeCell="O90" sqref="O90:P91"/>
    </sheetView>
  </sheetViews>
  <sheetFormatPr defaultRowHeight="16.5" x14ac:dyDescent="0.3"/>
  <cols>
    <col min="1" max="1" width="5.125" customWidth="1"/>
    <col min="2" max="2" width="11.25" customWidth="1"/>
    <col min="3" max="3" width="10.875" customWidth="1"/>
    <col min="4" max="4" width="12" bestFit="1" customWidth="1"/>
    <col min="5" max="5" width="16" customWidth="1"/>
    <col min="6" max="6" width="15.125" customWidth="1"/>
    <col min="7" max="7" width="14.875" bestFit="1" customWidth="1"/>
    <col min="8" max="8" width="16" bestFit="1" customWidth="1"/>
    <col min="9" max="9" width="11" customWidth="1"/>
    <col min="10" max="10" width="16.75" customWidth="1"/>
    <col min="11" max="11" width="11.5" bestFit="1" customWidth="1"/>
    <col min="13" max="13" width="11.75" customWidth="1"/>
    <col min="14" max="14" width="14.25" bestFit="1" customWidth="1"/>
    <col min="15" max="15" width="11.5" bestFit="1" customWidth="1"/>
    <col min="18" max="18" width="31.75" bestFit="1" customWidth="1"/>
    <col min="19" max="19" width="14.25" bestFit="1" customWidth="1"/>
    <col min="20" max="20" width="11.5" bestFit="1" customWidth="1"/>
  </cols>
  <sheetData>
    <row r="1" spans="1:20" ht="17.25" thickBot="1" x14ac:dyDescent="0.35">
      <c r="A1" s="42"/>
    </row>
    <row r="2" spans="1:20" ht="21" thickBot="1" x14ac:dyDescent="0.35">
      <c r="A2" s="42"/>
      <c r="B2" s="575" t="s">
        <v>578</v>
      </c>
      <c r="C2" s="576"/>
      <c r="D2" s="576"/>
      <c r="E2" s="576"/>
      <c r="F2" s="577"/>
      <c r="H2" s="569" t="s">
        <v>624</v>
      </c>
      <c r="I2" s="570"/>
      <c r="J2" s="571"/>
    </row>
    <row r="3" spans="1:20" x14ac:dyDescent="0.3">
      <c r="A3" s="42"/>
      <c r="B3" s="95"/>
      <c r="C3" s="84"/>
      <c r="D3" s="84"/>
      <c r="E3" s="106" t="s">
        <v>576</v>
      </c>
      <c r="F3" s="107" t="s">
        <v>577</v>
      </c>
      <c r="H3" s="129" t="s">
        <v>131</v>
      </c>
      <c r="I3" s="136"/>
      <c r="J3" s="130">
        <v>-253</v>
      </c>
    </row>
    <row r="4" spans="1:20" x14ac:dyDescent="0.3">
      <c r="A4" s="42"/>
      <c r="B4" s="83" t="s">
        <v>579</v>
      </c>
      <c r="C4" s="84"/>
      <c r="D4" s="84"/>
      <c r="E4" s="85">
        <f>'1. DB_Experiment_VER1'!$J$14</f>
        <v>4.4444444444444446</v>
      </c>
      <c r="F4" s="86">
        <f>F47/F48</f>
        <v>4.444399925777188</v>
      </c>
      <c r="H4" s="131" t="s">
        <v>22</v>
      </c>
      <c r="I4" s="84"/>
      <c r="J4" s="132">
        <v>-164</v>
      </c>
      <c r="S4" s="14"/>
      <c r="T4" s="1"/>
    </row>
    <row r="5" spans="1:20" x14ac:dyDescent="0.3">
      <c r="B5" s="83" t="s">
        <v>127</v>
      </c>
      <c r="C5" s="87"/>
      <c r="D5" s="87"/>
      <c r="E5" s="88">
        <v>30.353962661239862</v>
      </c>
      <c r="F5" s="89">
        <f>(F48-G48)/F48*100</f>
        <v>30.350447647927947</v>
      </c>
      <c r="H5" s="131" t="s">
        <v>30</v>
      </c>
      <c r="I5" s="84"/>
      <c r="J5" s="132">
        <v>-89</v>
      </c>
      <c r="S5" s="14"/>
      <c r="T5" s="14"/>
    </row>
    <row r="6" spans="1:20" x14ac:dyDescent="0.3">
      <c r="B6" s="83" t="s">
        <v>128</v>
      </c>
      <c r="C6" s="87"/>
      <c r="D6" s="87"/>
      <c r="E6" s="88">
        <f>SUM(E7:E12)</f>
        <v>100.00000000000003</v>
      </c>
      <c r="F6" s="90">
        <f>SUM(F7:F12)</f>
        <v>100.01718574890529</v>
      </c>
      <c r="H6" s="131" t="s">
        <v>23</v>
      </c>
      <c r="I6" s="84"/>
      <c r="J6" s="132">
        <v>-104</v>
      </c>
      <c r="S6" s="14"/>
      <c r="T6" s="14"/>
    </row>
    <row r="7" spans="1:20" x14ac:dyDescent="0.3">
      <c r="B7" s="83"/>
      <c r="C7" s="91" t="s">
        <v>30</v>
      </c>
      <c r="D7" s="84"/>
      <c r="E7" s="92">
        <v>1.9832375743992701</v>
      </c>
      <c r="F7" s="93">
        <f>(G49-F49)*2/($F$48-$G$48)*100</f>
        <v>1.9835723589584724</v>
      </c>
      <c r="H7" s="131" t="s">
        <v>24</v>
      </c>
      <c r="I7" s="84"/>
      <c r="J7" s="132">
        <v>-84</v>
      </c>
      <c r="S7" s="14"/>
      <c r="T7" s="14"/>
    </row>
    <row r="8" spans="1:20" x14ac:dyDescent="0.3">
      <c r="B8" s="83"/>
      <c r="C8" s="91" t="s">
        <v>23</v>
      </c>
      <c r="D8" s="84"/>
      <c r="E8" s="92">
        <v>35.180965793283235</v>
      </c>
      <c r="F8" s="93">
        <f>(G50-F50)*2/($F$48-$G$48)*100</f>
        <v>35.187280941940124</v>
      </c>
      <c r="H8" s="131" t="s">
        <v>31</v>
      </c>
      <c r="I8" s="84"/>
      <c r="J8" s="132">
        <v>-84</v>
      </c>
      <c r="S8" s="14"/>
      <c r="T8" s="14"/>
    </row>
    <row r="9" spans="1:20" x14ac:dyDescent="0.3">
      <c r="B9" s="83"/>
      <c r="C9" s="91" t="s">
        <v>24</v>
      </c>
      <c r="D9" s="84"/>
      <c r="E9" s="92">
        <v>41.411785543457484</v>
      </c>
      <c r="F9" s="93">
        <f>(G51-F51)*2/($F$48-$G$48)*100</f>
        <v>41.418758816676458</v>
      </c>
      <c r="H9" s="131" t="s">
        <v>32</v>
      </c>
      <c r="I9" s="84"/>
      <c r="J9" s="133" t="s">
        <v>657</v>
      </c>
      <c r="S9" s="14"/>
      <c r="T9" s="14"/>
    </row>
    <row r="10" spans="1:20" ht="17.25" thickBot="1" x14ac:dyDescent="0.35">
      <c r="B10" s="83"/>
      <c r="C10" s="91" t="s">
        <v>32</v>
      </c>
      <c r="D10" s="84"/>
      <c r="E10" s="92">
        <v>7.478987838505045</v>
      </c>
      <c r="F10" s="93">
        <f>(G53-F53)*6/($F$48-$G$48)*100</f>
        <v>7.4802315177120366</v>
      </c>
      <c r="H10" s="134" t="s">
        <v>33</v>
      </c>
      <c r="I10" s="98"/>
      <c r="J10" s="135">
        <v>80</v>
      </c>
      <c r="S10" s="40"/>
      <c r="T10" s="14"/>
    </row>
    <row r="11" spans="1:20" ht="17.25" thickBot="1" x14ac:dyDescent="0.35">
      <c r="B11" s="83"/>
      <c r="C11" s="91" t="s">
        <v>33</v>
      </c>
      <c r="D11" s="84"/>
      <c r="E11" s="92">
        <v>2.6768978031685888</v>
      </c>
      <c r="F11" s="93">
        <f>(G54-F54)*10/($F$48-$G$48)*100</f>
        <v>2.6773429424769719</v>
      </c>
    </row>
    <row r="12" spans="1:20" ht="21" thickBot="1" x14ac:dyDescent="0.35">
      <c r="B12" s="83"/>
      <c r="C12" s="91" t="s">
        <v>129</v>
      </c>
      <c r="D12" s="84"/>
      <c r="E12" s="92">
        <v>11.268125447186399</v>
      </c>
      <c r="F12" s="93">
        <f>N55/($F$48-$G$48)*100</f>
        <v>11.26999917114123</v>
      </c>
      <c r="H12" s="572" t="s">
        <v>622</v>
      </c>
      <c r="I12" s="573"/>
      <c r="J12" s="574"/>
      <c r="K12" s="199" t="s">
        <v>669</v>
      </c>
      <c r="L12" s="215" t="s">
        <v>729</v>
      </c>
      <c r="M12" s="162" t="s">
        <v>730</v>
      </c>
      <c r="S12" s="14" t="s">
        <v>760</v>
      </c>
      <c r="T12" s="14" t="s">
        <v>761</v>
      </c>
    </row>
    <row r="13" spans="1:20" x14ac:dyDescent="0.3">
      <c r="B13" s="83" t="s">
        <v>581</v>
      </c>
      <c r="C13" s="94"/>
      <c r="D13" s="87"/>
      <c r="E13" s="88">
        <f>SUM(E14:E19)</f>
        <v>30.355663599652345</v>
      </c>
      <c r="F13" s="90"/>
      <c r="H13" s="63" t="s">
        <v>618</v>
      </c>
      <c r="I13" s="64"/>
      <c r="J13" s="105">
        <f>H59</f>
        <v>60867.666647693899</v>
      </c>
      <c r="K13" s="217">
        <f>J13*8000/1000</f>
        <v>486941.33318155119</v>
      </c>
      <c r="L13" s="216">
        <f>J13*8000/10^9</f>
        <v>0.48694133318155119</v>
      </c>
      <c r="M13" s="82">
        <f>D59*8</f>
        <v>1692421.340544</v>
      </c>
      <c r="R13" t="s">
        <v>644</v>
      </c>
      <c r="S13" s="82"/>
      <c r="T13" s="82"/>
    </row>
    <row r="14" spans="1:20" x14ac:dyDescent="0.3">
      <c r="B14" s="95"/>
      <c r="C14" s="91" t="s">
        <v>30</v>
      </c>
      <c r="D14" s="84"/>
      <c r="E14" s="92">
        <f t="shared" ref="E14:E19" si="0">F7*$F$5/100</f>
        <v>0.60202309036446056</v>
      </c>
      <c r="F14" s="93"/>
      <c r="H14" s="67" t="s">
        <v>619</v>
      </c>
      <c r="I14" s="50"/>
      <c r="J14" s="137">
        <f>I59</f>
        <v>70796.472034733597</v>
      </c>
      <c r="K14" s="217">
        <f>J14*8000/1000</f>
        <v>566371.77627786878</v>
      </c>
      <c r="L14" s="216">
        <f>J14*8000/10^9</f>
        <v>0.56637177627786872</v>
      </c>
      <c r="R14" t="s">
        <v>588</v>
      </c>
      <c r="S14" s="82">
        <f>D46</f>
        <v>13186.8</v>
      </c>
      <c r="T14" s="82">
        <f>D59</f>
        <v>211552.667568</v>
      </c>
    </row>
    <row r="15" spans="1:20" x14ac:dyDescent="0.3">
      <c r="B15" s="95"/>
      <c r="C15" s="91" t="s">
        <v>23</v>
      </c>
      <c r="D15" s="84"/>
      <c r="E15" s="92">
        <f t="shared" si="0"/>
        <v>10.679497281012864</v>
      </c>
      <c r="F15" s="93"/>
      <c r="H15" s="67" t="s">
        <v>620</v>
      </c>
      <c r="I15" s="50"/>
      <c r="J15" s="137">
        <f>J59</f>
        <v>4312.9737713518198</v>
      </c>
      <c r="K15" s="217">
        <f>J15*8000/1000</f>
        <v>34503.790170814558</v>
      </c>
      <c r="L15" s="216">
        <f>J15*8000/10^9</f>
        <v>3.4503790170814556E-2</v>
      </c>
      <c r="R15" t="s">
        <v>759</v>
      </c>
      <c r="S15" s="82"/>
      <c r="T15" s="82"/>
    </row>
    <row r="16" spans="1:20" x14ac:dyDescent="0.3">
      <c r="B16" s="95"/>
      <c r="C16" s="91" t="s">
        <v>24</v>
      </c>
      <c r="D16" s="84"/>
      <c r="E16" s="92">
        <f t="shared" si="0"/>
        <v>12.57077871107693</v>
      </c>
      <c r="F16" s="93"/>
      <c r="H16" s="67" t="s">
        <v>621</v>
      </c>
      <c r="I16" s="50"/>
      <c r="J16" s="137">
        <f>K59</f>
        <v>11415.9923572681</v>
      </c>
      <c r="K16" s="217">
        <f>J16*8000/1000</f>
        <v>91327.9388581448</v>
      </c>
      <c r="L16" s="216">
        <f>J16*8000/10^9</f>
        <v>9.1327938858144803E-2</v>
      </c>
      <c r="R16" t="s">
        <v>618</v>
      </c>
      <c r="S16" s="279">
        <f>H46</f>
        <v>2170.0514827860102</v>
      </c>
      <c r="T16" s="279">
        <v>60867.666647693899</v>
      </c>
    </row>
    <row r="17" spans="2:20" ht="17.25" thickBot="1" x14ac:dyDescent="0.35">
      <c r="B17" s="95"/>
      <c r="C17" s="91" t="s">
        <v>32</v>
      </c>
      <c r="D17" s="84"/>
      <c r="E17" s="92">
        <f t="shared" si="0"/>
        <v>2.270283750726998</v>
      </c>
      <c r="F17" s="93"/>
      <c r="H17" s="70" t="s">
        <v>625</v>
      </c>
      <c r="I17" s="71"/>
      <c r="J17" s="138">
        <f>L59</f>
        <v>43795.087365572603</v>
      </c>
      <c r="K17" s="217">
        <f>J17*8000/1000</f>
        <v>350360.69892458082</v>
      </c>
      <c r="L17" s="216">
        <f>J17*8000/10^9</f>
        <v>0.35036069892458083</v>
      </c>
      <c r="R17" t="s">
        <v>619</v>
      </c>
      <c r="S17" s="279">
        <f>I46</f>
        <v>2685.84536912353</v>
      </c>
      <c r="T17" s="279">
        <v>70796.472034733597</v>
      </c>
    </row>
    <row r="18" spans="2:20" x14ac:dyDescent="0.3">
      <c r="B18" s="95"/>
      <c r="C18" s="91" t="s">
        <v>33</v>
      </c>
      <c r="D18" s="84"/>
      <c r="E18" s="92">
        <f t="shared" si="0"/>
        <v>0.81258556811196703</v>
      </c>
      <c r="F18" s="93"/>
      <c r="R18" t="s">
        <v>620</v>
      </c>
      <c r="S18" s="82">
        <f>J46</f>
        <v>35.101908813737197</v>
      </c>
      <c r="T18" s="82">
        <v>4312.9737713518198</v>
      </c>
    </row>
    <row r="19" spans="2:20" ht="17.25" thickBot="1" x14ac:dyDescent="0.35">
      <c r="B19" s="96"/>
      <c r="C19" s="97" t="s">
        <v>129</v>
      </c>
      <c r="D19" s="98"/>
      <c r="E19" s="99">
        <f t="shared" si="0"/>
        <v>3.4204951983591325</v>
      </c>
      <c r="F19" s="100"/>
      <c r="R19" t="s">
        <v>621</v>
      </c>
      <c r="S19" s="82">
        <f>K46</f>
        <v>145.592421889571</v>
      </c>
      <c r="T19" s="82">
        <v>11415.9923572681</v>
      </c>
    </row>
    <row r="20" spans="2:20" x14ac:dyDescent="0.3">
      <c r="B20" s="14"/>
      <c r="R20" t="s">
        <v>625</v>
      </c>
      <c r="S20" s="82">
        <f>L46</f>
        <v>17390.5950942979</v>
      </c>
      <c r="T20" s="82">
        <v>43795.087365572603</v>
      </c>
    </row>
    <row r="21" spans="2:20" x14ac:dyDescent="0.3">
      <c r="B21" s="14"/>
    </row>
    <row r="22" spans="2:20" x14ac:dyDescent="0.3">
      <c r="B22" s="14"/>
    </row>
    <row r="23" spans="2:20" x14ac:dyDescent="0.3">
      <c r="B23" s="14"/>
    </row>
    <row r="24" spans="2:20" x14ac:dyDescent="0.3">
      <c r="B24" s="14"/>
    </row>
    <row r="25" spans="2:20" x14ac:dyDescent="0.3">
      <c r="B25" s="14"/>
    </row>
    <row r="26" spans="2:20" x14ac:dyDescent="0.3">
      <c r="B26" s="14"/>
    </row>
    <row r="27" spans="2:20" x14ac:dyDescent="0.3">
      <c r="B27" s="14"/>
    </row>
    <row r="28" spans="2:20" x14ac:dyDescent="0.3">
      <c r="B28" s="14"/>
    </row>
    <row r="29" spans="2:20" x14ac:dyDescent="0.3">
      <c r="B29" s="14"/>
    </row>
    <row r="30" spans="2:20" x14ac:dyDescent="0.3">
      <c r="B30" s="14"/>
    </row>
    <row r="31" spans="2:20" x14ac:dyDescent="0.3">
      <c r="B31" s="14"/>
    </row>
    <row r="32" spans="2:20" x14ac:dyDescent="0.3">
      <c r="B32" s="14"/>
    </row>
    <row r="33" spans="2:28" x14ac:dyDescent="0.3">
      <c r="B33" s="14"/>
    </row>
    <row r="34" spans="2:28" x14ac:dyDescent="0.3">
      <c r="B34" s="14"/>
    </row>
    <row r="35" spans="2:28" x14ac:dyDescent="0.3">
      <c r="B35" s="14"/>
    </row>
    <row r="36" spans="2:28" x14ac:dyDescent="0.3">
      <c r="B36" s="14"/>
    </row>
    <row r="37" spans="2:28" x14ac:dyDescent="0.3">
      <c r="B37" s="14"/>
    </row>
    <row r="38" spans="2:28" x14ac:dyDescent="0.3">
      <c r="B38" s="14"/>
    </row>
    <row r="39" spans="2:28" x14ac:dyDescent="0.3">
      <c r="B39" s="14"/>
    </row>
    <row r="40" spans="2:28" x14ac:dyDescent="0.3">
      <c r="B40" s="14"/>
    </row>
    <row r="41" spans="2:28" x14ac:dyDescent="0.3">
      <c r="B41" s="14"/>
    </row>
    <row r="42" spans="2:28" x14ac:dyDescent="0.3">
      <c r="B42" s="14"/>
    </row>
    <row r="43" spans="2:28" ht="17.25" thickBot="1" x14ac:dyDescent="0.35">
      <c r="B43" s="14"/>
    </row>
    <row r="44" spans="2:28" ht="21" thickBot="1" x14ac:dyDescent="0.35">
      <c r="B44" s="572" t="s">
        <v>623</v>
      </c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4"/>
    </row>
    <row r="45" spans="2:28" x14ac:dyDescent="0.3">
      <c r="B45" s="78"/>
      <c r="C45" s="79"/>
      <c r="D45" s="80" t="str">
        <f>'DB_Aspen simulation_previous'!D117</f>
        <v>1-CH4</v>
      </c>
      <c r="E45" s="80" t="str">
        <f>'DB_Aspen simulation_previous'!E117</f>
        <v>50-O2</v>
      </c>
      <c r="F45" s="80" t="str">
        <f>'DB_Aspen simulation_previous'!F117</f>
        <v>6-RXNin</v>
      </c>
      <c r="G45" s="80" t="str">
        <f>'DB_Aspen simulation_previous'!G117</f>
        <v>7-RXN-out</v>
      </c>
      <c r="H45" s="80" t="str">
        <f>'DB_Aspen simulation_previous'!H117</f>
        <v>27-Ethylene</v>
      </c>
      <c r="I45" s="80" t="str">
        <f>'DB_Aspen simulation_previous'!I117</f>
        <v>28-C2</v>
      </c>
      <c r="J45" s="80" t="str">
        <f>'DB_Aspen simulation_previous'!J117</f>
        <v>12-Naphthalene</v>
      </c>
      <c r="K45" s="80" t="str">
        <f>'DB_Aspen simulation_previous'!K117</f>
        <v>20-Benzene</v>
      </c>
      <c r="L45" s="80" t="str">
        <f>'DB_Aspen simulation_previous'!L117</f>
        <v>37-H2</v>
      </c>
      <c r="M45" s="80" t="str">
        <f>'DB_Aspen simulation_previous'!M117</f>
        <v>54-CO2</v>
      </c>
      <c r="N45" s="81" t="str">
        <f>'DB_Aspen simulation_previous'!N117</f>
        <v>49-COKE</v>
      </c>
    </row>
    <row r="46" spans="2:28" x14ac:dyDescent="0.3">
      <c r="B46" s="65" t="str">
        <f>'DB_Aspen simulation_previous'!B118</f>
        <v>Mole Flows</v>
      </c>
      <c r="C46" s="52" t="str">
        <f>'DB_Aspen simulation_previous'!C118</f>
        <v>kmol/hr</v>
      </c>
      <c r="D46" s="53">
        <f>'DB_Aspen simulation_previous'!D118</f>
        <v>13186.8</v>
      </c>
      <c r="E46" s="53">
        <f>'DB_Aspen simulation_previous'!E118</f>
        <v>1400</v>
      </c>
      <c r="F46" s="53">
        <f>'DB_Aspen simulation_previous'!F118</f>
        <v>221973.907566304</v>
      </c>
      <c r="G46" s="53">
        <f>'DB_Aspen simulation_previous'!G118</f>
        <v>231437.848405678</v>
      </c>
      <c r="H46" s="53">
        <f>'DB_Aspen simulation_previous'!H118</f>
        <v>2170.0514827860102</v>
      </c>
      <c r="I46" s="53">
        <f>'DB_Aspen simulation_previous'!I118</f>
        <v>2685.84536912353</v>
      </c>
      <c r="J46" s="53">
        <f>'DB_Aspen simulation_previous'!J118</f>
        <v>35.101908813737197</v>
      </c>
      <c r="K46" s="53">
        <f>'DB_Aspen simulation_previous'!K118</f>
        <v>145.592421889571</v>
      </c>
      <c r="L46" s="53">
        <f>'DB_Aspen simulation_previous'!L118</f>
        <v>17390.5950942979</v>
      </c>
      <c r="M46" s="53">
        <f>'DB_Aspen simulation_previous'!M118</f>
        <v>1400</v>
      </c>
      <c r="N46" s="66">
        <f>'DB_Aspen simulation_previous'!N118</f>
        <v>1392.0025000000001</v>
      </c>
      <c r="R46" s="286">
        <v>13186.8</v>
      </c>
      <c r="S46" s="286">
        <v>1400</v>
      </c>
      <c r="T46" s="286">
        <v>221973.907566304</v>
      </c>
      <c r="U46" s="286">
        <v>231437.848405678</v>
      </c>
      <c r="V46" s="286">
        <v>2170.0514827860102</v>
      </c>
      <c r="W46" s="286">
        <v>2685.84536912353</v>
      </c>
      <c r="X46" s="286">
        <v>35.101908813737197</v>
      </c>
      <c r="Y46" s="286">
        <v>145.592421889571</v>
      </c>
      <c r="Z46" s="286">
        <v>17390.5950942979</v>
      </c>
      <c r="AA46" s="286">
        <v>1400</v>
      </c>
      <c r="AB46" s="286">
        <v>1392.0025000000001</v>
      </c>
    </row>
    <row r="47" spans="2:28" x14ac:dyDescent="0.3">
      <c r="B47" s="67" t="str">
        <f>'DB_Aspen simulation_previous'!B119</f>
        <v>H2</v>
      </c>
      <c r="C47" s="50" t="str">
        <f>'DB_Aspen simulation_previous'!C119</f>
        <v>kmol/hr</v>
      </c>
      <c r="D47" s="54">
        <f>'DB_Aspen simulation_previous'!D119</f>
        <v>0</v>
      </c>
      <c r="E47" s="54">
        <f>'DB_Aspen simulation_previous'!E119</f>
        <v>0</v>
      </c>
      <c r="F47" s="54">
        <f>'DB_Aspen simulation_previous'!F119</f>
        <v>180869.01015529799</v>
      </c>
      <c r="G47" s="54">
        <f>'DB_Aspen simulation_previous'!G119</f>
        <v>197643.83689999999</v>
      </c>
      <c r="H47" s="54">
        <f>'DB_Aspen simulation_previous'!H119</f>
        <v>1.0538853091876501E-9</v>
      </c>
      <c r="I47" s="54">
        <f>'DB_Aspen simulation_previous'!I119</f>
        <v>2.1702471351603201E-39</v>
      </c>
      <c r="J47" s="54">
        <f>'DB_Aspen simulation_previous'!J119</f>
        <v>0.20996271436505401</v>
      </c>
      <c r="K47" s="54">
        <f>'DB_Aspen simulation_previous'!K119</f>
        <v>5.7435524468904502E-8</v>
      </c>
      <c r="L47" s="54">
        <f>'DB_Aspen simulation_previous'!L119</f>
        <v>16767.7985447221</v>
      </c>
      <c r="M47" s="54">
        <f>'DB_Aspen simulation_previous'!M119</f>
        <v>0</v>
      </c>
      <c r="N47" s="68">
        <f>'DB_Aspen simulation_previous'!N119</f>
        <v>0</v>
      </c>
      <c r="R47" s="286">
        <v>0</v>
      </c>
      <c r="S47" s="286">
        <v>0</v>
      </c>
      <c r="T47" s="286">
        <v>180869.01015529799</v>
      </c>
      <c r="U47" s="286">
        <v>197643.83689999999</v>
      </c>
      <c r="V47" s="286">
        <v>1.0538853091876501E-9</v>
      </c>
      <c r="W47" s="286">
        <v>2.1702471351603201E-39</v>
      </c>
      <c r="X47" s="286">
        <v>0.20996271436505401</v>
      </c>
      <c r="Y47" s="286">
        <v>5.7435524468904502E-8</v>
      </c>
      <c r="Z47" s="286">
        <v>16767.7985447221</v>
      </c>
      <c r="AA47" s="286">
        <v>0</v>
      </c>
      <c r="AB47" s="286">
        <v>0</v>
      </c>
    </row>
    <row r="48" spans="2:28" x14ac:dyDescent="0.3">
      <c r="B48" s="67" t="str">
        <f>'DB_Aspen simulation_previous'!B120</f>
        <v>CH4</v>
      </c>
      <c r="C48" s="50" t="str">
        <f>'DB_Aspen simulation_previous'!C120</f>
        <v>kmol/hr</v>
      </c>
      <c r="D48" s="54">
        <f>'DB_Aspen simulation_previous'!D120</f>
        <v>13186.8</v>
      </c>
      <c r="E48" s="54">
        <f>'DB_Aspen simulation_previous'!E120</f>
        <v>0</v>
      </c>
      <c r="F48" s="54">
        <f>'DB_Aspen simulation_previous'!F120</f>
        <v>40695.934923918801</v>
      </c>
      <c r="G48" s="54">
        <f>'DB_Aspen simulation_previous'!G120</f>
        <v>28344.536499999998</v>
      </c>
      <c r="H48" s="54">
        <f>'DB_Aspen simulation_previous'!H120</f>
        <v>0.43146132957623401</v>
      </c>
      <c r="I48" s="54">
        <f>'DB_Aspen simulation_previous'!I120</f>
        <v>1.1295021034885001E-14</v>
      </c>
      <c r="J48" s="54">
        <f>'DB_Aspen simulation_previous'!J120</f>
        <v>0.20312416833990601</v>
      </c>
      <c r="K48" s="54">
        <f>'DB_Aspen simulation_previous'!K120</f>
        <v>7.4918186669103899E-6</v>
      </c>
      <c r="L48" s="54">
        <f>'DB_Aspen simulation_previous'!L120</f>
        <v>622.64269059413596</v>
      </c>
      <c r="M48" s="54">
        <f>'DB_Aspen simulation_previous'!M120</f>
        <v>0</v>
      </c>
      <c r="N48" s="68">
        <f>'DB_Aspen simulation_previous'!N120</f>
        <v>0</v>
      </c>
      <c r="R48" s="286">
        <v>13186.8</v>
      </c>
      <c r="S48" s="286">
        <v>0</v>
      </c>
      <c r="T48" s="286">
        <v>40695.934923918801</v>
      </c>
      <c r="U48" s="286">
        <v>28344.536499999998</v>
      </c>
      <c r="V48" s="286">
        <v>0.43146132957623401</v>
      </c>
      <c r="W48" s="286">
        <v>1.1295021034885001E-14</v>
      </c>
      <c r="X48" s="286">
        <v>0.20312416833990601</v>
      </c>
      <c r="Y48" s="286">
        <v>7.4918186669103899E-6</v>
      </c>
      <c r="Z48" s="286">
        <v>622.64269059413596</v>
      </c>
      <c r="AA48" s="286">
        <v>0</v>
      </c>
      <c r="AB48" s="286">
        <v>0</v>
      </c>
    </row>
    <row r="49" spans="2:28" x14ac:dyDescent="0.3">
      <c r="B49" s="67" t="str">
        <f>'DB_Aspen simulation_previous'!B121</f>
        <v>C2H6</v>
      </c>
      <c r="C49" s="50" t="str">
        <f>'DB_Aspen simulation_previous'!C121</f>
        <v>kmol/hr</v>
      </c>
      <c r="D49" s="54">
        <f>'DB_Aspen simulation_previous'!D121</f>
        <v>0</v>
      </c>
      <c r="E49" s="54">
        <f>'DB_Aspen simulation_previous'!E121</f>
        <v>0</v>
      </c>
      <c r="F49" s="54">
        <f>'DB_Aspen simulation_previous'!F121</f>
        <v>3.8575920635591001</v>
      </c>
      <c r="G49" s="54">
        <f>'DB_Aspen simulation_previous'!G121</f>
        <v>126.35705460440199</v>
      </c>
      <c r="H49" s="54">
        <f>'DB_Aspen simulation_previous'!H121</f>
        <v>9.4418222958600604E-13</v>
      </c>
      <c r="I49" s="54">
        <f>'DB_Aspen simulation_previous'!I121</f>
        <v>122.442527845618</v>
      </c>
      <c r="J49" s="54">
        <f>'DB_Aspen simulation_previous'!J121</f>
        <v>6.3581650537586102E-3</v>
      </c>
      <c r="K49" s="54">
        <f>'DB_Aspen simulation_previous'!K121</f>
        <v>1.0754155194E-4</v>
      </c>
      <c r="L49" s="54">
        <f>'DB_Aspen simulation_previous'!L121</f>
        <v>2.7909047960067201E-4</v>
      </c>
      <c r="M49" s="54">
        <f>'DB_Aspen simulation_previous'!M121</f>
        <v>0</v>
      </c>
      <c r="N49" s="68">
        <f>'DB_Aspen simulation_previous'!N121</f>
        <v>0</v>
      </c>
      <c r="R49" s="286">
        <v>0</v>
      </c>
      <c r="S49" s="286">
        <v>0</v>
      </c>
      <c r="T49" s="286">
        <v>3.8575920635591001</v>
      </c>
      <c r="U49" s="286">
        <v>126.35705460440199</v>
      </c>
      <c r="V49" s="286">
        <v>9.4418222958600604E-13</v>
      </c>
      <c r="W49" s="286">
        <v>122.442527845618</v>
      </c>
      <c r="X49" s="286">
        <v>6.3581650537586102E-3</v>
      </c>
      <c r="Y49" s="286">
        <v>1.0754155194E-4</v>
      </c>
      <c r="Z49" s="286">
        <v>2.7909047960067201E-4</v>
      </c>
      <c r="AA49" s="286">
        <v>0</v>
      </c>
      <c r="AB49" s="286">
        <v>0</v>
      </c>
    </row>
    <row r="50" spans="2:28" x14ac:dyDescent="0.3">
      <c r="B50" s="67" t="str">
        <f>'DB_Aspen simulation_previous'!B122</f>
        <v>C2H4</v>
      </c>
      <c r="C50" s="50" t="str">
        <f>'DB_Aspen simulation_previous'!C122</f>
        <v>kmol/hr</v>
      </c>
      <c r="D50" s="54">
        <f>'DB_Aspen simulation_previous'!D122</f>
        <v>0</v>
      </c>
      <c r="E50" s="54">
        <f>'DB_Aspen simulation_previous'!E122</f>
        <v>0</v>
      </c>
      <c r="F50" s="54">
        <f>'DB_Aspen simulation_previous'!F122</f>
        <v>338.47623823234301</v>
      </c>
      <c r="G50" s="54">
        <f>'DB_Aspen simulation_previous'!G122</f>
        <v>2511.5368700736799</v>
      </c>
      <c r="H50" s="54">
        <f>'DB_Aspen simulation_previous'!H122</f>
        <v>2167.01343972831</v>
      </c>
      <c r="I50" s="54">
        <f>'DB_Aspen simulation_previous'!I122</f>
        <v>2.1691535750314399</v>
      </c>
      <c r="J50" s="54">
        <f>'DB_Aspen simulation_previous'!J122</f>
        <v>8.4735455812960297E-2</v>
      </c>
      <c r="K50" s="54">
        <f>'DB_Aspen simulation_previous'!K122</f>
        <v>3.7484760009025601E-4</v>
      </c>
      <c r="L50" s="54">
        <f>'DB_Aspen simulation_previous'!L122</f>
        <v>0.15035485996443201</v>
      </c>
      <c r="M50" s="54">
        <f>'DB_Aspen simulation_previous'!M122</f>
        <v>0</v>
      </c>
      <c r="N50" s="68">
        <f>'DB_Aspen simulation_previous'!N122</f>
        <v>0</v>
      </c>
      <c r="R50" s="286">
        <v>0</v>
      </c>
      <c r="S50" s="286">
        <v>0</v>
      </c>
      <c r="T50" s="286">
        <v>338.47623823234301</v>
      </c>
      <c r="U50" s="286">
        <v>2511.5368700736799</v>
      </c>
      <c r="V50" s="286">
        <v>2167.01343972831</v>
      </c>
      <c r="W50" s="286">
        <v>2.1691535750314399</v>
      </c>
      <c r="X50" s="286">
        <v>8.4735455812960297E-2</v>
      </c>
      <c r="Y50" s="286">
        <v>3.7484760009025601E-4</v>
      </c>
      <c r="Z50" s="286">
        <v>0.15035485996443201</v>
      </c>
      <c r="AA50" s="286">
        <v>0</v>
      </c>
      <c r="AB50" s="286">
        <v>0</v>
      </c>
    </row>
    <row r="51" spans="2:28" x14ac:dyDescent="0.3">
      <c r="B51" s="67" t="str">
        <f>'DB_Aspen simulation_previous'!B123</f>
        <v>C2H2</v>
      </c>
      <c r="C51" s="50" t="str">
        <f>'DB_Aspen simulation_previous'!C123</f>
        <v>kmol/hr</v>
      </c>
      <c r="D51" s="54">
        <f>'DB_Aspen simulation_previous'!D123</f>
        <v>0</v>
      </c>
      <c r="E51" s="54">
        <f>'DB_Aspen simulation_previous'!E123</f>
        <v>0</v>
      </c>
      <c r="F51" s="54">
        <f>'DB_Aspen simulation_previous'!F123</f>
        <v>66.628656430606696</v>
      </c>
      <c r="G51" s="54">
        <f>'DB_Aspen simulation_previous'!G123</f>
        <v>2624.5266182754599</v>
      </c>
      <c r="H51" s="54">
        <f>'DB_Aspen simulation_previous'!H123</f>
        <v>2.6065817270757701</v>
      </c>
      <c r="I51" s="54">
        <f>'DB_Aspen simulation_previous'!I123</f>
        <v>2554.2300337809502</v>
      </c>
      <c r="J51" s="54">
        <f>'DB_Aspen simulation_previous'!J123</f>
        <v>0.14815621953198799</v>
      </c>
      <c r="K51" s="54">
        <f>'DB_Aspen simulation_previous'!K123</f>
        <v>4.6312008372290303E-3</v>
      </c>
      <c r="L51" s="54">
        <f>'DB_Aspen simulation_previous'!L123</f>
        <v>3.2250312196558102E-3</v>
      </c>
      <c r="M51" s="54">
        <f>'DB_Aspen simulation_previous'!M123</f>
        <v>0</v>
      </c>
      <c r="N51" s="68">
        <f>'DB_Aspen simulation_previous'!N123</f>
        <v>0</v>
      </c>
      <c r="R51" s="286">
        <v>0</v>
      </c>
      <c r="S51" s="286">
        <v>0</v>
      </c>
      <c r="T51" s="286">
        <v>66.628656430606696</v>
      </c>
      <c r="U51" s="286">
        <v>2624.5266182754599</v>
      </c>
      <c r="V51" s="286">
        <v>2.6065817270757701</v>
      </c>
      <c r="W51" s="286">
        <v>2554.2300337809502</v>
      </c>
      <c r="X51" s="286">
        <v>0.14815621953198799</v>
      </c>
      <c r="Y51" s="286">
        <v>4.6312008372290303E-3</v>
      </c>
      <c r="Z51" s="286">
        <v>3.2250312196558102E-3</v>
      </c>
      <c r="AA51" s="286">
        <v>0</v>
      </c>
      <c r="AB51" s="286">
        <v>0</v>
      </c>
    </row>
    <row r="52" spans="2:28" x14ac:dyDescent="0.3">
      <c r="B52" s="67" t="str">
        <f>'DB_Aspen simulation_previous'!B124</f>
        <v>C3-C5</v>
      </c>
      <c r="C52" s="50" t="str">
        <f>'DB_Aspen simulation_previous'!C124</f>
        <v>kmol/hr</v>
      </c>
      <c r="D52" s="54">
        <f>'DB_Aspen simulation_previous'!D124</f>
        <v>0</v>
      </c>
      <c r="E52" s="54">
        <f>'DB_Aspen simulation_previous'!E124</f>
        <v>0</v>
      </c>
      <c r="F52" s="54">
        <f>'DB_Aspen simulation_previous'!F124</f>
        <v>0</v>
      </c>
      <c r="G52" s="54">
        <f>'DB_Aspen simulation_previous'!G124</f>
        <v>0</v>
      </c>
      <c r="H52" s="54">
        <f>'DB_Aspen simulation_previous'!H124</f>
        <v>0</v>
      </c>
      <c r="I52" s="54">
        <f>'DB_Aspen simulation_previous'!I124</f>
        <v>0</v>
      </c>
      <c r="J52" s="54">
        <f>'DB_Aspen simulation_previous'!J124</f>
        <v>0</v>
      </c>
      <c r="K52" s="54">
        <f>'DB_Aspen simulation_previous'!K124</f>
        <v>0</v>
      </c>
      <c r="L52" s="54">
        <f>'DB_Aspen simulation_previous'!L124</f>
        <v>0</v>
      </c>
      <c r="M52" s="54">
        <f>'DB_Aspen simulation_previous'!M124</f>
        <v>0</v>
      </c>
      <c r="N52" s="68">
        <f>'DB_Aspen simulation_previous'!N124</f>
        <v>0</v>
      </c>
      <c r="R52" s="286">
        <v>0</v>
      </c>
      <c r="S52" s="286">
        <v>0</v>
      </c>
      <c r="T52" s="286">
        <v>0</v>
      </c>
      <c r="U52" s="286">
        <v>0</v>
      </c>
      <c r="V52" s="286">
        <v>0</v>
      </c>
      <c r="W52" s="286">
        <v>0</v>
      </c>
      <c r="X52" s="286">
        <v>0</v>
      </c>
      <c r="Y52" s="286">
        <v>0</v>
      </c>
      <c r="Z52" s="286">
        <v>0</v>
      </c>
      <c r="AA52" s="286">
        <v>0</v>
      </c>
      <c r="AB52" s="286">
        <v>0</v>
      </c>
    </row>
    <row r="53" spans="2:28" x14ac:dyDescent="0.3">
      <c r="B53" s="67" t="str">
        <f>'DB_Aspen simulation_previous'!B125</f>
        <v>BEN</v>
      </c>
      <c r="C53" s="50" t="str">
        <f>'DB_Aspen simulation_previous'!C125</f>
        <v>kmol/hr</v>
      </c>
      <c r="D53" s="54">
        <f>'DB_Aspen simulation_previous'!D125</f>
        <v>0</v>
      </c>
      <c r="E53" s="54">
        <f>'DB_Aspen simulation_previous'!E125</f>
        <v>0</v>
      </c>
      <c r="F53" s="54">
        <f>'DB_Aspen simulation_previous'!F125</f>
        <v>3.5999699195706998E-7</v>
      </c>
      <c r="G53" s="54">
        <f>'DB_Aspen simulation_previous'!G125</f>
        <v>153.985533324024</v>
      </c>
      <c r="H53" s="54">
        <f>'DB_Aspen simulation_previous'!H125</f>
        <v>5.2571403709701998E-239</v>
      </c>
      <c r="I53" s="54">
        <f>'DB_Aspen simulation_previous'!I125</f>
        <v>7.0036464348541303</v>
      </c>
      <c r="J53" s="54">
        <f>'DB_Aspen simulation_previous'!J125</f>
        <v>2.25044661829924</v>
      </c>
      <c r="K53" s="54">
        <f>'DB_Aspen simulation_previous'!K125</f>
        <v>144.71826348319701</v>
      </c>
      <c r="L53" s="54">
        <f>'DB_Aspen simulation_previous'!L125</f>
        <v>6.6589644960968004E-18</v>
      </c>
      <c r="M53" s="54">
        <f>'DB_Aspen simulation_previous'!M125</f>
        <v>0</v>
      </c>
      <c r="N53" s="68">
        <f>'DB_Aspen simulation_previous'!N125</f>
        <v>0</v>
      </c>
      <c r="R53" s="286">
        <v>0</v>
      </c>
      <c r="S53" s="286">
        <v>0</v>
      </c>
      <c r="T53" s="286">
        <v>3.5999699195706998E-7</v>
      </c>
      <c r="U53" s="286">
        <v>153.985533324024</v>
      </c>
      <c r="V53" s="286">
        <v>5.2571403709701998E-239</v>
      </c>
      <c r="W53" s="286">
        <v>7.0036464348541303</v>
      </c>
      <c r="X53" s="286">
        <v>2.25044661829924</v>
      </c>
      <c r="Y53" s="286">
        <v>144.71826348319701</v>
      </c>
      <c r="Z53" s="286">
        <v>6.6589644960968004E-18</v>
      </c>
      <c r="AA53" s="286">
        <v>0</v>
      </c>
      <c r="AB53" s="286">
        <v>0</v>
      </c>
    </row>
    <row r="54" spans="2:28" x14ac:dyDescent="0.3">
      <c r="B54" s="67" t="str">
        <f>'DB_Aspen simulation_previous'!B126</f>
        <v>NAP</v>
      </c>
      <c r="C54" s="50" t="str">
        <f>'DB_Aspen simulation_previous'!C126</f>
        <v>kmol/hr</v>
      </c>
      <c r="D54" s="54">
        <f>'DB_Aspen simulation_previous'!D126</f>
        <v>0</v>
      </c>
      <c r="E54" s="54">
        <f>'DB_Aspen simulation_previous'!E126</f>
        <v>0</v>
      </c>
      <c r="F54" s="54">
        <f>'DB_Aspen simulation_previous'!F126</f>
        <v>1.8118092930555701E-56</v>
      </c>
      <c r="G54" s="54">
        <f>'DB_Aspen simulation_previous'!G126</f>
        <v>33.068929400000201</v>
      </c>
      <c r="H54" s="54">
        <f>'DB_Aspen simulation_previous'!H126</f>
        <v>0</v>
      </c>
      <c r="I54" s="54">
        <f>'DB_Aspen simulation_previous'!I126</f>
        <v>7.4870778619701203E-6</v>
      </c>
      <c r="J54" s="54">
        <f>'DB_Aspen simulation_previous'!J126</f>
        <v>32.199125472334302</v>
      </c>
      <c r="K54" s="54">
        <f>'DB_Aspen simulation_previous'!K126</f>
        <v>0.86903726712974705</v>
      </c>
      <c r="L54" s="54">
        <f>'DB_Aspen simulation_previous'!L126</f>
        <v>0</v>
      </c>
      <c r="M54" s="54">
        <f>'DB_Aspen simulation_previous'!M126</f>
        <v>0</v>
      </c>
      <c r="N54" s="68">
        <f>'DB_Aspen simulation_previous'!N126</f>
        <v>0</v>
      </c>
      <c r="R54" s="286">
        <v>0</v>
      </c>
      <c r="S54" s="286">
        <v>0</v>
      </c>
      <c r="T54" s="286">
        <v>1.8118092930555701E-56</v>
      </c>
      <c r="U54" s="286">
        <v>33.068929400000201</v>
      </c>
      <c r="V54" s="286">
        <v>0</v>
      </c>
      <c r="W54" s="286">
        <v>7.4870778619701203E-6</v>
      </c>
      <c r="X54" s="286">
        <v>32.199125472334302</v>
      </c>
      <c r="Y54" s="286">
        <v>0.86903726712974705</v>
      </c>
      <c r="Z54" s="286">
        <v>0</v>
      </c>
      <c r="AA54" s="286">
        <v>0</v>
      </c>
      <c r="AB54" s="286">
        <v>0</v>
      </c>
    </row>
    <row r="55" spans="2:28" x14ac:dyDescent="0.3">
      <c r="B55" s="67" t="str">
        <f>'DB_Aspen simulation_previous'!B127</f>
        <v>C</v>
      </c>
      <c r="C55" s="50" t="str">
        <f>'DB_Aspen simulation_previous'!C127</f>
        <v>kmol/hr</v>
      </c>
      <c r="D55" s="54">
        <f>'DB_Aspen simulation_previous'!D127</f>
        <v>0</v>
      </c>
      <c r="E55" s="54">
        <f>'DB_Aspen simulation_previous'!E127</f>
        <v>0</v>
      </c>
      <c r="F55" s="54">
        <f>'DB_Aspen simulation_previous'!F127</f>
        <v>0</v>
      </c>
      <c r="G55" s="54">
        <f>'DB_Aspen simulation_previous'!G127</f>
        <v>0</v>
      </c>
      <c r="H55" s="54">
        <f>'DB_Aspen simulation_previous'!H127</f>
        <v>0</v>
      </c>
      <c r="I55" s="54">
        <f>'DB_Aspen simulation_previous'!I127</f>
        <v>0</v>
      </c>
      <c r="J55" s="54">
        <f>'DB_Aspen simulation_previous'!J127</f>
        <v>0</v>
      </c>
      <c r="K55" s="54">
        <f>'DB_Aspen simulation_previous'!K127</f>
        <v>0</v>
      </c>
      <c r="L55" s="54">
        <f>'DB_Aspen simulation_previous'!L127</f>
        <v>0</v>
      </c>
      <c r="M55" s="54">
        <f>'DB_Aspen simulation_previous'!M127</f>
        <v>0</v>
      </c>
      <c r="N55" s="68">
        <f>'DB_Aspen simulation_previous'!N127</f>
        <v>1392.0025000000001</v>
      </c>
      <c r="R55" s="286">
        <v>0</v>
      </c>
      <c r="S55" s="286">
        <v>0</v>
      </c>
      <c r="T55" s="286">
        <v>0</v>
      </c>
      <c r="U55" s="286">
        <v>0</v>
      </c>
      <c r="V55" s="286">
        <v>0</v>
      </c>
      <c r="W55" s="286">
        <v>0</v>
      </c>
      <c r="X55" s="286">
        <v>0</v>
      </c>
      <c r="Y55" s="286">
        <v>0</v>
      </c>
      <c r="Z55" s="286">
        <v>0</v>
      </c>
      <c r="AA55" s="286">
        <v>0</v>
      </c>
      <c r="AB55" s="286">
        <v>1392.0025000000001</v>
      </c>
    </row>
    <row r="56" spans="2:28" x14ac:dyDescent="0.3">
      <c r="B56" s="67" t="str">
        <f>'DB_Aspen simulation_previous'!B128</f>
        <v>WATER</v>
      </c>
      <c r="C56" s="50" t="str">
        <f>'DB_Aspen simulation_previous'!C128</f>
        <v>kmol/hr</v>
      </c>
      <c r="D56" s="54">
        <f>'DB_Aspen simulation_previous'!D128</f>
        <v>0</v>
      </c>
      <c r="E56" s="54">
        <f>'DB_Aspen simulation_previous'!E128</f>
        <v>0</v>
      </c>
      <c r="F56" s="54">
        <f>'DB_Aspen simulation_previous'!F128</f>
        <v>0</v>
      </c>
      <c r="G56" s="54">
        <f>'DB_Aspen simulation_previous'!G128</f>
        <v>0</v>
      </c>
      <c r="H56" s="54">
        <f>'DB_Aspen simulation_previous'!H128</f>
        <v>0</v>
      </c>
      <c r="I56" s="54">
        <f>'DB_Aspen simulation_previous'!I128</f>
        <v>0</v>
      </c>
      <c r="J56" s="54">
        <f>'DB_Aspen simulation_previous'!J128</f>
        <v>0</v>
      </c>
      <c r="K56" s="54">
        <f>'DB_Aspen simulation_previous'!K128</f>
        <v>0</v>
      </c>
      <c r="L56" s="54">
        <f>'DB_Aspen simulation_previous'!L128</f>
        <v>0</v>
      </c>
      <c r="M56" s="54">
        <f>'DB_Aspen simulation_previous'!M128</f>
        <v>0</v>
      </c>
      <c r="N56" s="68">
        <f>'DB_Aspen simulation_previous'!N128</f>
        <v>0</v>
      </c>
      <c r="R56" s="286">
        <v>0</v>
      </c>
      <c r="S56" s="286">
        <v>0</v>
      </c>
      <c r="T56" s="286">
        <v>0</v>
      </c>
      <c r="U56" s="286">
        <v>0</v>
      </c>
      <c r="V56" s="286">
        <v>0</v>
      </c>
      <c r="W56" s="286">
        <v>0</v>
      </c>
      <c r="X56" s="286">
        <v>0</v>
      </c>
      <c r="Y56" s="286">
        <v>0</v>
      </c>
      <c r="Z56" s="286">
        <v>0</v>
      </c>
      <c r="AA56" s="286">
        <v>0</v>
      </c>
      <c r="AB56" s="286">
        <v>0</v>
      </c>
    </row>
    <row r="57" spans="2:28" x14ac:dyDescent="0.3">
      <c r="B57" s="67" t="str">
        <f>'DB_Aspen simulation_previous'!B129</f>
        <v>O2</v>
      </c>
      <c r="C57" s="50" t="str">
        <f>'DB_Aspen simulation_previous'!C129</f>
        <v>kmol/hr</v>
      </c>
      <c r="D57" s="54">
        <f>'DB_Aspen simulation_previous'!D129</f>
        <v>0</v>
      </c>
      <c r="E57" s="54">
        <f>'DB_Aspen simulation_previous'!E129</f>
        <v>1400</v>
      </c>
      <c r="F57" s="54">
        <f>'DB_Aspen simulation_previous'!F129</f>
        <v>0</v>
      </c>
      <c r="G57" s="54">
        <f>'DB_Aspen simulation_previous'!G129</f>
        <v>0</v>
      </c>
      <c r="H57" s="54">
        <f>'DB_Aspen simulation_previous'!H129</f>
        <v>0</v>
      </c>
      <c r="I57" s="54">
        <f>'DB_Aspen simulation_previous'!I129</f>
        <v>0</v>
      </c>
      <c r="J57" s="54">
        <f>'DB_Aspen simulation_previous'!J129</f>
        <v>0</v>
      </c>
      <c r="K57" s="54">
        <f>'DB_Aspen simulation_previous'!K129</f>
        <v>0</v>
      </c>
      <c r="L57" s="54">
        <f>'DB_Aspen simulation_previous'!L129</f>
        <v>0</v>
      </c>
      <c r="M57" s="54">
        <f>'DB_Aspen simulation_previous'!M129</f>
        <v>7.9975000000000298</v>
      </c>
      <c r="N57" s="68">
        <f>'DB_Aspen simulation_previous'!N129</f>
        <v>0</v>
      </c>
      <c r="R57" s="286">
        <v>0</v>
      </c>
      <c r="S57" s="286">
        <v>1400</v>
      </c>
      <c r="T57" s="286">
        <v>0</v>
      </c>
      <c r="U57" s="286">
        <v>0</v>
      </c>
      <c r="V57" s="286">
        <v>0</v>
      </c>
      <c r="W57" s="286">
        <v>0</v>
      </c>
      <c r="X57" s="286">
        <v>0</v>
      </c>
      <c r="Y57" s="286">
        <v>0</v>
      </c>
      <c r="Z57" s="286">
        <v>0</v>
      </c>
      <c r="AA57" s="286">
        <v>7.9975000000000298</v>
      </c>
      <c r="AB57" s="286">
        <v>0</v>
      </c>
    </row>
    <row r="58" spans="2:28" ht="17.25" thickBot="1" x14ac:dyDescent="0.35">
      <c r="B58" s="67" t="str">
        <f>'DB_Aspen simulation_previous'!B130</f>
        <v>CO2</v>
      </c>
      <c r="C58" s="50" t="str">
        <f>'DB_Aspen simulation_previous'!C130</f>
        <v>kmol/hr</v>
      </c>
      <c r="D58" s="54">
        <f>'DB_Aspen simulation_previous'!D130</f>
        <v>0</v>
      </c>
      <c r="E58" s="54">
        <f>'DB_Aspen simulation_previous'!E130</f>
        <v>0</v>
      </c>
      <c r="F58" s="54">
        <f>'DB_Aspen simulation_previous'!F130</f>
        <v>0</v>
      </c>
      <c r="G58" s="54">
        <f>'DB_Aspen simulation_previous'!G130</f>
        <v>0</v>
      </c>
      <c r="H58" s="54">
        <f>'DB_Aspen simulation_previous'!H130</f>
        <v>0</v>
      </c>
      <c r="I58" s="54">
        <f>'DB_Aspen simulation_previous'!I130</f>
        <v>0</v>
      </c>
      <c r="J58" s="54">
        <f>'DB_Aspen simulation_previous'!J130</f>
        <v>0</v>
      </c>
      <c r="K58" s="54">
        <f>'DB_Aspen simulation_previous'!K130</f>
        <v>0</v>
      </c>
      <c r="L58" s="54">
        <f>'DB_Aspen simulation_previous'!L130</f>
        <v>0</v>
      </c>
      <c r="M58" s="54">
        <f>'DB_Aspen simulation_previous'!M130</f>
        <v>1392.0025000000001</v>
      </c>
      <c r="N58" s="68">
        <f>'DB_Aspen simulation_previous'!N130</f>
        <v>0</v>
      </c>
      <c r="R58" s="286">
        <v>0</v>
      </c>
      <c r="S58" s="286">
        <v>0</v>
      </c>
      <c r="T58" s="286">
        <v>0</v>
      </c>
      <c r="U58" s="286">
        <v>0</v>
      </c>
      <c r="V58" s="286">
        <v>0</v>
      </c>
      <c r="W58" s="286">
        <v>0</v>
      </c>
      <c r="X58" s="286">
        <v>0</v>
      </c>
      <c r="Y58" s="286">
        <v>0</v>
      </c>
      <c r="Z58" s="286">
        <v>0</v>
      </c>
      <c r="AA58" s="286">
        <v>1392.0025000000001</v>
      </c>
      <c r="AB58" s="286">
        <v>0</v>
      </c>
    </row>
    <row r="59" spans="2:28" x14ac:dyDescent="0.3">
      <c r="B59" s="163" t="str">
        <f>'DB_Aspen simulation_previous'!B144</f>
        <v>Mass Flows</v>
      </c>
      <c r="C59" s="164" t="str">
        <f>'DB_Aspen simulation_previous'!C144</f>
        <v>kg/hr</v>
      </c>
      <c r="D59" s="165">
        <f>'DB_Aspen simulation_previous'!D144</f>
        <v>211552.667568</v>
      </c>
      <c r="E59" s="165">
        <f>'DB_Aspen simulation_previous'!E144</f>
        <v>44798.32</v>
      </c>
      <c r="F59" s="165">
        <f>'DB_Aspen simulation_previous'!F144</f>
        <v>1028831.73369842</v>
      </c>
      <c r="G59" s="165">
        <f>'DB_Aspen simulation_previous'!G144</f>
        <v>1012012.4587809</v>
      </c>
      <c r="H59" s="165">
        <f>'DB_Aspen simulation_previous'!H144</f>
        <v>60867.666647693899</v>
      </c>
      <c r="I59" s="165">
        <f>'DB_Aspen simulation_previous'!I144</f>
        <v>70796.472034733597</v>
      </c>
      <c r="J59" s="165">
        <f>'DB_Aspen simulation_previous'!J144</f>
        <v>4312.9737713518198</v>
      </c>
      <c r="K59" s="165">
        <f>'DB_Aspen simulation_previous'!K144</f>
        <v>11415.9923572681</v>
      </c>
      <c r="L59" s="165">
        <f>'DB_Aspen simulation_previous'!L144</f>
        <v>43795.087365572603</v>
      </c>
      <c r="M59" s="165">
        <f>'DB_Aspen simulation_previous'!M144</f>
        <v>61517.662027500199</v>
      </c>
      <c r="N59" s="190">
        <f>'DB_Aspen simulation_previous'!N144</f>
        <v>16719.342027499999</v>
      </c>
      <c r="O59" s="168"/>
    </row>
    <row r="60" spans="2:28" x14ac:dyDescent="0.3">
      <c r="B60" s="67" t="str">
        <f>'DB_Aspen simulation_previous'!B145</f>
        <v>H2</v>
      </c>
      <c r="C60" s="50" t="str">
        <f>'DB_Aspen simulation_previous'!C145</f>
        <v>kg/hr</v>
      </c>
      <c r="D60" s="54">
        <f>'DB_Aspen simulation_previous'!D145</f>
        <v>0</v>
      </c>
      <c r="E60" s="54">
        <f>'DB_Aspen simulation_previous'!E145</f>
        <v>0</v>
      </c>
      <c r="F60" s="54">
        <f>'DB_Aspen simulation_previous'!F145</f>
        <v>364610.22019186302</v>
      </c>
      <c r="G60" s="54">
        <f>'DB_Aspen simulation_previous'!G145</f>
        <v>398426.25792997202</v>
      </c>
      <c r="H60" s="54">
        <f>'DB_Aspen simulation_previous'!H145</f>
        <v>2.1245063170851999E-9</v>
      </c>
      <c r="I60" s="54">
        <f>'DB_Aspen simulation_previous'!I145</f>
        <v>4.3749577948269799E-39</v>
      </c>
      <c r="J60" s="54">
        <f>'DB_Aspen simulation_previous'!J145</f>
        <v>0.423259636634224</v>
      </c>
      <c r="K60" s="54">
        <f>'DB_Aspen simulation_previous'!K145</f>
        <v>1.15783125066375E-7</v>
      </c>
      <c r="L60" s="54">
        <f>'DB_Aspen simulation_previous'!L145</f>
        <v>33801.869730334198</v>
      </c>
      <c r="M60" s="54">
        <f>'DB_Aspen simulation_previous'!M145</f>
        <v>0</v>
      </c>
      <c r="N60" s="68">
        <f>'DB_Aspen simulation_previous'!N145</f>
        <v>0</v>
      </c>
    </row>
    <row r="61" spans="2:28" x14ac:dyDescent="0.3">
      <c r="B61" s="67" t="str">
        <f>'DB_Aspen simulation_previous'!B146</f>
        <v>CH4</v>
      </c>
      <c r="C61" s="50" t="str">
        <f>'DB_Aspen simulation_previous'!C146</f>
        <v>kg/hr</v>
      </c>
      <c r="D61" s="54">
        <f>'DB_Aspen simulation_previous'!D146</f>
        <v>211552.667568</v>
      </c>
      <c r="E61" s="54">
        <f>'DB_Aspen simulation_previous'!E146</f>
        <v>0</v>
      </c>
      <c r="F61" s="54">
        <f>'DB_Aspen simulation_previous'!F146</f>
        <v>652875.11696004798</v>
      </c>
      <c r="G61" s="54">
        <f>'DB_Aspen simulation_previous'!G146</f>
        <v>454724.59638074</v>
      </c>
      <c r="H61" s="54">
        <f>'DB_Aspen simulation_previous'!H146</f>
        <v>6.9218305596724301</v>
      </c>
      <c r="I61" s="54">
        <f>'DB_Aspen simulation_previous'!I146</f>
        <v>1.81203311657611E-13</v>
      </c>
      <c r="J61" s="54">
        <f>'DB_Aspen simulation_previous'!J146</f>
        <v>3.2586722828767098</v>
      </c>
      <c r="K61" s="54">
        <f>'DB_Aspen simulation_previous'!K146</f>
        <v>1.20189448836764E-4</v>
      </c>
      <c r="L61" s="54">
        <f>'DB_Aspen simulation_previous'!L146</f>
        <v>9988.9072509559301</v>
      </c>
      <c r="M61" s="54">
        <f>'DB_Aspen simulation_previous'!M146</f>
        <v>0</v>
      </c>
      <c r="N61" s="68">
        <f>'DB_Aspen simulation_previous'!N146</f>
        <v>0</v>
      </c>
    </row>
    <row r="62" spans="2:28" x14ac:dyDescent="0.3">
      <c r="B62" s="67" t="str">
        <f>'DB_Aspen simulation_previous'!B147</f>
        <v>C2H6</v>
      </c>
      <c r="C62" s="50" t="str">
        <f>'DB_Aspen simulation_previous'!C147</f>
        <v>kg/hr</v>
      </c>
      <c r="D62" s="54">
        <f>'DB_Aspen simulation_previous'!D147</f>
        <v>0</v>
      </c>
      <c r="E62" s="54">
        <f>'DB_Aspen simulation_previous'!E147</f>
        <v>0</v>
      </c>
      <c r="F62" s="54">
        <f>'DB_Aspen simulation_previous'!F147</f>
        <v>115.996404618079</v>
      </c>
      <c r="G62" s="54">
        <f>'DB_Aspen simulation_previous'!G147</f>
        <v>3799.5111434147002</v>
      </c>
      <c r="H62" s="54">
        <f>'DB_Aspen simulation_previous'!H147</f>
        <v>2.83912197380485E-11</v>
      </c>
      <c r="I62" s="54">
        <f>'DB_Aspen simulation_previous'!I147</f>
        <v>3681.8027330077098</v>
      </c>
      <c r="J62" s="54">
        <f>'DB_Aspen simulation_previous'!J147</f>
        <v>0.191187734227102</v>
      </c>
      <c r="K62" s="54">
        <f>'DB_Aspen simulation_previous'!K147</f>
        <v>3.2337357518771098E-3</v>
      </c>
      <c r="L62" s="54">
        <f>'DB_Aspen simulation_previous'!L147</f>
        <v>8.3921502490195508E-3</v>
      </c>
      <c r="M62" s="54">
        <f>'DB_Aspen simulation_previous'!M147</f>
        <v>0</v>
      </c>
      <c r="N62" s="68">
        <f>'DB_Aspen simulation_previous'!N147</f>
        <v>0</v>
      </c>
    </row>
    <row r="63" spans="2:28" x14ac:dyDescent="0.3">
      <c r="B63" s="67" t="str">
        <f>'DB_Aspen simulation_previous'!B148</f>
        <v>C2H4</v>
      </c>
      <c r="C63" s="50" t="str">
        <f>'DB_Aspen simulation_previous'!C148</f>
        <v>kg/hr</v>
      </c>
      <c r="D63" s="54">
        <f>'DB_Aspen simulation_previous'!D148</f>
        <v>0</v>
      </c>
      <c r="E63" s="54">
        <f>'DB_Aspen simulation_previous'!E148</f>
        <v>0</v>
      </c>
      <c r="F63" s="54">
        <f>'DB_Aspen simulation_previous'!F148</f>
        <v>9495.5311530729705</v>
      </c>
      <c r="G63" s="54">
        <f>'DB_Aspen simulation_previous'!G148</f>
        <v>70458.052584198405</v>
      </c>
      <c r="H63" s="54">
        <f>'DB_Aspen simulation_previous'!H148</f>
        <v>60792.874954912302</v>
      </c>
      <c r="I63" s="54">
        <f>'DB_Aspen simulation_previous'!I148</f>
        <v>60.852913797074102</v>
      </c>
      <c r="J63" s="54">
        <f>'DB_Aspen simulation_previous'!J148</f>
        <v>2.3771481408673898</v>
      </c>
      <c r="K63" s="54">
        <f>'DB_Aspen simulation_previous'!K148</f>
        <v>1.0515884609507999E-2</v>
      </c>
      <c r="L63" s="54">
        <f>'DB_Aspen simulation_previous'!L148</f>
        <v>4.2180191562757798</v>
      </c>
      <c r="M63" s="54">
        <f>'DB_Aspen simulation_previous'!M148</f>
        <v>0</v>
      </c>
      <c r="N63" s="68">
        <f>'DB_Aspen simulation_previous'!N148</f>
        <v>0</v>
      </c>
    </row>
    <row r="64" spans="2:28" x14ac:dyDescent="0.3">
      <c r="B64" s="67" t="str">
        <f>'DB_Aspen simulation_previous'!B149</f>
        <v>C2H2</v>
      </c>
      <c r="C64" s="50" t="str">
        <f>'DB_Aspen simulation_previous'!C149</f>
        <v>kg/hr</v>
      </c>
      <c r="D64" s="54">
        <f>'DB_Aspen simulation_previous'!D149</f>
        <v>0</v>
      </c>
      <c r="E64" s="54">
        <f>'DB_Aspen simulation_previous'!E149</f>
        <v>0</v>
      </c>
      <c r="F64" s="54">
        <f>'DB_Aspen simulation_previous'!F149</f>
        <v>1734.86896070136</v>
      </c>
      <c r="G64" s="54">
        <f>'DB_Aspen simulation_previous'!G149</f>
        <v>68337.109143462207</v>
      </c>
      <c r="H64" s="54">
        <f>'DB_Aspen simulation_previous'!H149</f>
        <v>67.869862219791401</v>
      </c>
      <c r="I64" s="54">
        <f>'DB_Aspen simulation_previous'!I149</f>
        <v>66506.735111984206</v>
      </c>
      <c r="J64" s="54">
        <f>'DB_Aspen simulation_previous'!J149</f>
        <v>3.8576738654275502</v>
      </c>
      <c r="K64" s="54">
        <f>'DB_Aspen simulation_previous'!K149</f>
        <v>0.12058665165566899</v>
      </c>
      <c r="L64" s="54">
        <f>'DB_Aspen simulation_previous'!L149</f>
        <v>8.3972975893651505E-2</v>
      </c>
      <c r="M64" s="54">
        <f>'DB_Aspen simulation_previous'!M149</f>
        <v>0</v>
      </c>
      <c r="N64" s="68">
        <f>'DB_Aspen simulation_previous'!N149</f>
        <v>0</v>
      </c>
    </row>
    <row r="65" spans="1:19" x14ac:dyDescent="0.3">
      <c r="B65" s="67" t="str">
        <f>'DB_Aspen simulation_previous'!B150</f>
        <v>C3-C5</v>
      </c>
      <c r="C65" s="50" t="str">
        <f>'DB_Aspen simulation_previous'!C150</f>
        <v>kg/hr</v>
      </c>
      <c r="D65" s="54">
        <f>'DB_Aspen simulation_previous'!D150</f>
        <v>0</v>
      </c>
      <c r="E65" s="54">
        <f>'DB_Aspen simulation_previous'!E150</f>
        <v>0</v>
      </c>
      <c r="F65" s="54">
        <f>'DB_Aspen simulation_previous'!F150</f>
        <v>0</v>
      </c>
      <c r="G65" s="54">
        <f>'DB_Aspen simulation_previous'!G150</f>
        <v>0</v>
      </c>
      <c r="H65" s="54">
        <f>'DB_Aspen simulation_previous'!H150</f>
        <v>0</v>
      </c>
      <c r="I65" s="54">
        <f>'DB_Aspen simulation_previous'!I150</f>
        <v>0</v>
      </c>
      <c r="J65" s="54">
        <f>'DB_Aspen simulation_previous'!J150</f>
        <v>0</v>
      </c>
      <c r="K65" s="54">
        <f>'DB_Aspen simulation_previous'!K150</f>
        <v>0</v>
      </c>
      <c r="L65" s="54">
        <f>'DB_Aspen simulation_previous'!L150</f>
        <v>0</v>
      </c>
      <c r="M65" s="54">
        <f>'DB_Aspen simulation_previous'!M150</f>
        <v>0</v>
      </c>
      <c r="N65" s="68">
        <f>'DB_Aspen simulation_previous'!N150</f>
        <v>0</v>
      </c>
    </row>
    <row r="66" spans="1:19" x14ac:dyDescent="0.3">
      <c r="B66" s="67" t="str">
        <f>'DB_Aspen simulation_previous'!B151</f>
        <v>BEN</v>
      </c>
      <c r="C66" s="50" t="str">
        <f>'DB_Aspen simulation_previous'!C151</f>
        <v>kg/hr</v>
      </c>
      <c r="D66" s="54">
        <f>'DB_Aspen simulation_previous'!D151</f>
        <v>0</v>
      </c>
      <c r="E66" s="54">
        <f>'DB_Aspen simulation_previous'!E151</f>
        <v>0</v>
      </c>
      <c r="F66" s="54">
        <f>'DB_Aspen simulation_previous'!F151</f>
        <v>2.8120675430817401E-5</v>
      </c>
      <c r="G66" s="54">
        <f>'DB_Aspen simulation_previous'!G151</f>
        <v>12028.3705152808</v>
      </c>
      <c r="H66" s="54">
        <f>'DB_Aspen simulation_previous'!H151</f>
        <v>4.1065437036743099E-237</v>
      </c>
      <c r="I66" s="54">
        <f>'DB_Aspen simulation_previous'!I151</f>
        <v>547.080316299478</v>
      </c>
      <c r="J66" s="54">
        <f>'DB_Aspen simulation_previous'!J151</f>
        <v>175.79057698104401</v>
      </c>
      <c r="K66" s="54">
        <f>'DB_Aspen simulation_previous'!K151</f>
        <v>11304.4703351516</v>
      </c>
      <c r="L66" s="54">
        <f>'DB_Aspen simulation_previous'!L151</f>
        <v>5.20155955420885E-16</v>
      </c>
      <c r="M66" s="54">
        <f>'DB_Aspen simulation_previous'!M151</f>
        <v>0</v>
      </c>
      <c r="N66" s="68">
        <f>'DB_Aspen simulation_previous'!N151</f>
        <v>0</v>
      </c>
    </row>
    <row r="67" spans="1:19" x14ac:dyDescent="0.3">
      <c r="B67" s="67" t="str">
        <f>'DB_Aspen simulation_previous'!B152</f>
        <v>NAP</v>
      </c>
      <c r="C67" s="50" t="str">
        <f>'DB_Aspen simulation_previous'!C152</f>
        <v>kg/hr</v>
      </c>
      <c r="D67" s="54">
        <f>'DB_Aspen simulation_previous'!D152</f>
        <v>0</v>
      </c>
      <c r="E67" s="54">
        <f>'DB_Aspen simulation_previous'!E152</f>
        <v>0</v>
      </c>
      <c r="F67" s="54">
        <f>'DB_Aspen simulation_previous'!F152</f>
        <v>2.32225974659644E-54</v>
      </c>
      <c r="G67" s="54">
        <f>'DB_Aspen simulation_previous'!G152</f>
        <v>4238.5610838294897</v>
      </c>
      <c r="H67" s="54">
        <f>'DB_Aspen simulation_previous'!H152</f>
        <v>0</v>
      </c>
      <c r="I67" s="54">
        <f>'DB_Aspen simulation_previous'!I152</f>
        <v>9.59645124082786E-4</v>
      </c>
      <c r="J67" s="54">
        <f>'DB_Aspen simulation_previous'!J152</f>
        <v>4127.0752527107397</v>
      </c>
      <c r="K67" s="54">
        <f>'DB_Aspen simulation_previous'!K152</f>
        <v>111.3875655392</v>
      </c>
      <c r="L67" s="54">
        <f>'DB_Aspen simulation_previous'!L152</f>
        <v>0</v>
      </c>
      <c r="M67" s="54">
        <f>'DB_Aspen simulation_previous'!M152</f>
        <v>0</v>
      </c>
      <c r="N67" s="68">
        <f>'DB_Aspen simulation_previous'!N152</f>
        <v>0</v>
      </c>
    </row>
    <row r="68" spans="1:19" x14ac:dyDescent="0.3">
      <c r="B68" s="67" t="str">
        <f>'DB_Aspen simulation_previous'!B153</f>
        <v>C</v>
      </c>
      <c r="C68" s="50" t="str">
        <f>'DB_Aspen simulation_previous'!C153</f>
        <v>kg/hr</v>
      </c>
      <c r="D68" s="54">
        <f>'DB_Aspen simulation_previous'!D153</f>
        <v>0</v>
      </c>
      <c r="E68" s="54">
        <f>'DB_Aspen simulation_previous'!E153</f>
        <v>0</v>
      </c>
      <c r="F68" s="54">
        <f>'DB_Aspen simulation_previous'!F153</f>
        <v>0</v>
      </c>
      <c r="G68" s="54">
        <f>'DB_Aspen simulation_previous'!G153</f>
        <v>0</v>
      </c>
      <c r="H68" s="54">
        <f>'DB_Aspen simulation_previous'!H153</f>
        <v>0</v>
      </c>
      <c r="I68" s="54">
        <f>'DB_Aspen simulation_previous'!I153</f>
        <v>0</v>
      </c>
      <c r="J68" s="54">
        <f>'DB_Aspen simulation_previous'!J153</f>
        <v>0</v>
      </c>
      <c r="K68" s="54">
        <f>'DB_Aspen simulation_previous'!K153</f>
        <v>0</v>
      </c>
      <c r="L68" s="54">
        <f>'DB_Aspen simulation_previous'!L153</f>
        <v>0</v>
      </c>
      <c r="M68" s="54">
        <f>'DB_Aspen simulation_previous'!M153</f>
        <v>0</v>
      </c>
      <c r="N68" s="68">
        <f>'DB_Aspen simulation_previous'!N153</f>
        <v>16719.342027499999</v>
      </c>
    </row>
    <row r="69" spans="1:19" x14ac:dyDescent="0.3">
      <c r="B69" s="67" t="str">
        <f>'DB_Aspen simulation_previous'!B154</f>
        <v>WATER</v>
      </c>
      <c r="C69" s="50" t="str">
        <f>'DB_Aspen simulation_previous'!C154</f>
        <v>kg/hr</v>
      </c>
      <c r="D69" s="54">
        <f>'DB_Aspen simulation_previous'!D154</f>
        <v>0</v>
      </c>
      <c r="E69" s="54">
        <f>'DB_Aspen simulation_previous'!E154</f>
        <v>0</v>
      </c>
      <c r="F69" s="54">
        <f>'DB_Aspen simulation_previous'!F154</f>
        <v>0</v>
      </c>
      <c r="G69" s="54">
        <f>'DB_Aspen simulation_previous'!G154</f>
        <v>0</v>
      </c>
      <c r="H69" s="54">
        <f>'DB_Aspen simulation_previous'!H154</f>
        <v>0</v>
      </c>
      <c r="I69" s="54">
        <f>'DB_Aspen simulation_previous'!I154</f>
        <v>0</v>
      </c>
      <c r="J69" s="54">
        <f>'DB_Aspen simulation_previous'!J154</f>
        <v>0</v>
      </c>
      <c r="K69" s="54">
        <f>'DB_Aspen simulation_previous'!K154</f>
        <v>0</v>
      </c>
      <c r="L69" s="54">
        <f>'DB_Aspen simulation_previous'!L154</f>
        <v>0</v>
      </c>
      <c r="M69" s="54">
        <f>'DB_Aspen simulation_previous'!M154</f>
        <v>0</v>
      </c>
      <c r="N69" s="68">
        <f>'DB_Aspen simulation_previous'!N154</f>
        <v>0</v>
      </c>
    </row>
    <row r="70" spans="1:19" x14ac:dyDescent="0.3">
      <c r="B70" s="67" t="str">
        <f>'DB_Aspen simulation_previous'!B155</f>
        <v>O2</v>
      </c>
      <c r="C70" s="50" t="str">
        <f>'DB_Aspen simulation_previous'!C155</f>
        <v>kg/hr</v>
      </c>
      <c r="D70" s="54">
        <f>'DB_Aspen simulation_previous'!D155</f>
        <v>0</v>
      </c>
      <c r="E70" s="54">
        <f>'DB_Aspen simulation_previous'!E155</f>
        <v>44798.32</v>
      </c>
      <c r="F70" s="54">
        <f>'DB_Aspen simulation_previous'!F155</f>
        <v>0</v>
      </c>
      <c r="G70" s="54">
        <f>'DB_Aspen simulation_previous'!G155</f>
        <v>0</v>
      </c>
      <c r="H70" s="54">
        <f>'DB_Aspen simulation_previous'!H155</f>
        <v>0</v>
      </c>
      <c r="I70" s="54">
        <f>'DB_Aspen simulation_previous'!I155</f>
        <v>0</v>
      </c>
      <c r="J70" s="54">
        <f>'DB_Aspen simulation_previous'!J155</f>
        <v>0</v>
      </c>
      <c r="K70" s="54">
        <f>'DB_Aspen simulation_previous'!K155</f>
        <v>0</v>
      </c>
      <c r="L70" s="54">
        <f>'DB_Aspen simulation_previous'!L155</f>
        <v>0</v>
      </c>
      <c r="M70" s="54">
        <f>'DB_Aspen simulation_previous'!M155</f>
        <v>255.91040300000199</v>
      </c>
      <c r="N70" s="68">
        <f>'DB_Aspen simulation_previous'!N155</f>
        <v>0</v>
      </c>
    </row>
    <row r="71" spans="1:19" x14ac:dyDescent="0.3">
      <c r="B71" s="67" t="str">
        <f>'DB_Aspen simulation_previous'!B156</f>
        <v>CO2</v>
      </c>
      <c r="C71" s="50" t="str">
        <f>'DB_Aspen simulation_previous'!C156</f>
        <v>kg/hr</v>
      </c>
      <c r="D71" s="54">
        <f>'DB_Aspen simulation_previous'!D156</f>
        <v>0</v>
      </c>
      <c r="E71" s="54">
        <f>'DB_Aspen simulation_previous'!E156</f>
        <v>0</v>
      </c>
      <c r="F71" s="54">
        <f>'DB_Aspen simulation_previous'!F156</f>
        <v>0</v>
      </c>
      <c r="G71" s="54">
        <f>'DB_Aspen simulation_previous'!G156</f>
        <v>0</v>
      </c>
      <c r="H71" s="54">
        <f>'DB_Aspen simulation_previous'!H156</f>
        <v>0</v>
      </c>
      <c r="I71" s="54">
        <f>'DB_Aspen simulation_previous'!I156</f>
        <v>0</v>
      </c>
      <c r="J71" s="54">
        <f>'DB_Aspen simulation_previous'!J156</f>
        <v>0</v>
      </c>
      <c r="K71" s="54">
        <f>'DB_Aspen simulation_previous'!K156</f>
        <v>0</v>
      </c>
      <c r="L71" s="54">
        <f>'DB_Aspen simulation_previous'!L156</f>
        <v>0</v>
      </c>
      <c r="M71" s="54">
        <f>'DB_Aspen simulation_previous'!M156</f>
        <v>61261.751624500197</v>
      </c>
      <c r="N71" s="68">
        <f>'DB_Aspen simulation_previous'!N156</f>
        <v>0</v>
      </c>
    </row>
    <row r="72" spans="1:19" ht="17.25" thickBot="1" x14ac:dyDescent="0.35">
      <c r="B72" s="70" t="str">
        <f>'DB_Aspen simulation_previous'!B170</f>
        <v>Volume Flow</v>
      </c>
      <c r="C72" s="71" t="str">
        <f>'DB_Aspen simulation_previous'!C170</f>
        <v>cum/hr</v>
      </c>
      <c r="D72" s="166">
        <f>'DB_Aspen simulation_previous'!D170</f>
        <v>327437.64971695602</v>
      </c>
      <c r="E72" s="166">
        <f>'DB_Aspen simulation_previous'!E170</f>
        <v>3502.90289429615</v>
      </c>
      <c r="F72" s="166">
        <f>'DB_Aspen simulation_previous'!F170</f>
        <v>27389526.075531099</v>
      </c>
      <c r="G72" s="166">
        <f>'DB_Aspen simulation_previous'!G170</f>
        <v>28557235.373459201</v>
      </c>
      <c r="H72" s="166">
        <f>'DB_Aspen simulation_previous'!H170</f>
        <v>98.383621473182401</v>
      </c>
      <c r="I72" s="166">
        <f>'DB_Aspen simulation_previous'!I170</f>
        <v>109.683432849323</v>
      </c>
      <c r="J72" s="166">
        <f>'DB_Aspen simulation_previous'!J170</f>
        <v>4.4462477291806</v>
      </c>
      <c r="K72" s="166">
        <f>'DB_Aspen simulation_previous'!K170</f>
        <v>21.7610625336041</v>
      </c>
      <c r="L72" s="166">
        <f>'DB_Aspen simulation_previous'!L170</f>
        <v>13181.879415298899</v>
      </c>
      <c r="M72" s="166">
        <f>'DB_Aspen simulation_previous'!M170</f>
        <v>116788.17724538399</v>
      </c>
      <c r="N72" s="167">
        <f>'DB_Aspen simulation_previous'!N170</f>
        <v>28.5550454362414</v>
      </c>
    </row>
    <row r="73" spans="1:19" ht="17.25" thickBot="1" x14ac:dyDescent="0.35">
      <c r="A73" s="42"/>
    </row>
    <row r="74" spans="1:19" ht="21" thickBot="1" x14ac:dyDescent="0.35">
      <c r="A74" s="42"/>
      <c r="B74" s="578" t="s">
        <v>615</v>
      </c>
      <c r="C74" s="579"/>
      <c r="D74" s="579"/>
      <c r="E74" s="579"/>
      <c r="F74" s="580"/>
      <c r="G74" s="142"/>
    </row>
    <row r="75" spans="1:19" x14ac:dyDescent="0.3">
      <c r="B75" s="110" t="s">
        <v>582</v>
      </c>
      <c r="C75" s="111"/>
      <c r="D75" s="111"/>
      <c r="E75" s="111"/>
      <c r="F75" s="112">
        <f>(F48-G48)/F48</f>
        <v>0.30350447647927947</v>
      </c>
    </row>
    <row r="76" spans="1:19" x14ac:dyDescent="0.3">
      <c r="B76" s="113" t="s">
        <v>606</v>
      </c>
      <c r="C76" s="114"/>
      <c r="D76" s="114"/>
      <c r="E76" s="114"/>
      <c r="F76" s="115">
        <f>H46*2/D46</f>
        <v>0.32912480401401556</v>
      </c>
    </row>
    <row r="77" spans="1:19" ht="17.25" thickBot="1" x14ac:dyDescent="0.35">
      <c r="B77" s="116" t="s">
        <v>607</v>
      </c>
      <c r="C77" s="117"/>
      <c r="D77" s="117"/>
      <c r="E77" s="117"/>
      <c r="F77" s="118">
        <f>(SUM(H49:I51)*2+J54*10+J53*6+K53*6+K54*10)/D48</f>
        <v>0.82729831053156133</v>
      </c>
    </row>
    <row r="78" spans="1:19" ht="17.25" thickBot="1" x14ac:dyDescent="0.35"/>
    <row r="79" spans="1:19" ht="21" thickBot="1" x14ac:dyDescent="0.35">
      <c r="A79" s="42"/>
      <c r="B79" s="566" t="s">
        <v>616</v>
      </c>
      <c r="C79" s="567"/>
      <c r="D79" s="567"/>
      <c r="E79" s="567"/>
      <c r="F79" s="568"/>
      <c r="G79" s="144"/>
      <c r="H79" s="319" t="s">
        <v>793</v>
      </c>
      <c r="I79" s="319" t="s">
        <v>792</v>
      </c>
      <c r="J79" s="319" t="s">
        <v>794</v>
      </c>
    </row>
    <row r="80" spans="1:19" x14ac:dyDescent="0.3">
      <c r="A80" s="42"/>
      <c r="B80" s="119" t="s">
        <v>626</v>
      </c>
      <c r="C80" s="120"/>
      <c r="D80" s="120"/>
      <c r="E80" s="120"/>
      <c r="F80" s="121">
        <f>F88/(F84+F94)</f>
        <v>0.14525820262732211</v>
      </c>
      <c r="G80" s="143"/>
      <c r="H80" s="123" t="s">
        <v>130</v>
      </c>
      <c r="I80" s="123">
        <v>55.5</v>
      </c>
      <c r="J80" s="243">
        <f t="shared" ref="J80:J89" si="1">I80/3.6</f>
        <v>15.416666666666666</v>
      </c>
      <c r="M80">
        <v>169696.100091853</v>
      </c>
      <c r="N80" s="82">
        <f>M80*I80</f>
        <v>9418133.5550978426</v>
      </c>
      <c r="O80" t="s">
        <v>668</v>
      </c>
      <c r="S80" s="82"/>
    </row>
    <row r="81" spans="1:19" x14ac:dyDescent="0.3">
      <c r="A81" s="42"/>
      <c r="B81" s="124" t="s">
        <v>627</v>
      </c>
      <c r="C81" s="123"/>
      <c r="D81" s="123"/>
      <c r="E81" s="123"/>
      <c r="F81" s="125">
        <f>F87/(F84+F94)</f>
        <v>0.59750678001729585</v>
      </c>
      <c r="G81" s="143"/>
      <c r="H81" s="123" t="s">
        <v>131</v>
      </c>
      <c r="I81" s="123">
        <v>141.69999999999999</v>
      </c>
      <c r="J81" s="243">
        <f t="shared" si="1"/>
        <v>39.361111111111107</v>
      </c>
      <c r="N81" s="322">
        <v>2250</v>
      </c>
      <c r="O81" t="s">
        <v>810</v>
      </c>
      <c r="S81" s="82"/>
    </row>
    <row r="82" spans="1:19" x14ac:dyDescent="0.3">
      <c r="A82" s="42"/>
      <c r="B82" s="124" t="s">
        <v>699</v>
      </c>
      <c r="C82" s="123"/>
      <c r="D82" s="123"/>
      <c r="E82" s="123"/>
      <c r="F82" s="125">
        <f>F81-(F87/(F84+F94+F100))</f>
        <v>1.6735927234543202E-2</v>
      </c>
      <c r="G82" s="143"/>
      <c r="H82" s="123" t="s">
        <v>132</v>
      </c>
      <c r="I82" s="123">
        <v>51.9</v>
      </c>
      <c r="J82" s="243">
        <f t="shared" si="1"/>
        <v>14.416666666666666</v>
      </c>
      <c r="S82" s="82"/>
    </row>
    <row r="83" spans="1:19" x14ac:dyDescent="0.3">
      <c r="B83" s="124"/>
      <c r="C83" s="123"/>
      <c r="D83" s="123"/>
      <c r="E83" s="123"/>
      <c r="F83" s="125"/>
      <c r="H83" s="123" t="s">
        <v>133</v>
      </c>
      <c r="I83" s="123">
        <v>50.3</v>
      </c>
      <c r="J83" s="243">
        <f t="shared" si="1"/>
        <v>13.972222222222221</v>
      </c>
      <c r="S83" s="82"/>
    </row>
    <row r="84" spans="1:19" x14ac:dyDescent="0.3">
      <c r="B84" s="127" t="s">
        <v>589</v>
      </c>
      <c r="C84" s="139"/>
      <c r="D84" s="139"/>
      <c r="E84" s="123"/>
      <c r="F84" s="147">
        <f>F85</f>
        <v>11741173.050024001</v>
      </c>
      <c r="H84" s="123" t="s">
        <v>134</v>
      </c>
      <c r="I84" s="123">
        <v>49.9</v>
      </c>
      <c r="J84" s="243">
        <f t="shared" si="1"/>
        <v>13.861111111111111</v>
      </c>
      <c r="S84" s="82"/>
    </row>
    <row r="85" spans="1:19" x14ac:dyDescent="0.3">
      <c r="B85" s="127"/>
      <c r="C85" s="139" t="s">
        <v>588</v>
      </c>
      <c r="D85" s="139"/>
      <c r="E85" s="123"/>
      <c r="F85" s="147">
        <f>D61*I80</f>
        <v>11741173.050024001</v>
      </c>
      <c r="H85" s="123" t="s">
        <v>135</v>
      </c>
      <c r="I85" s="123">
        <v>41.8</v>
      </c>
      <c r="J85" s="243">
        <f t="shared" si="1"/>
        <v>11.611111111111111</v>
      </c>
      <c r="S85" s="82"/>
    </row>
    <row r="86" spans="1:19" x14ac:dyDescent="0.3">
      <c r="B86" s="140"/>
      <c r="C86" s="139"/>
      <c r="D86" s="139"/>
      <c r="E86" s="123"/>
      <c r="F86" s="147"/>
      <c r="H86" s="123" t="s">
        <v>136</v>
      </c>
      <c r="I86" s="243">
        <f>17303*2.326/1000</f>
        <v>40.246777999999999</v>
      </c>
      <c r="J86" s="243">
        <f t="shared" si="1"/>
        <v>11.179660555555555</v>
      </c>
      <c r="S86" s="82"/>
    </row>
    <row r="87" spans="1:19" x14ac:dyDescent="0.3">
      <c r="B87" s="140" t="s">
        <v>590</v>
      </c>
      <c r="C87" s="139"/>
      <c r="D87" s="139"/>
      <c r="E87" s="123"/>
      <c r="F87" s="147">
        <f>SUM(F88:F92)</f>
        <v>12592256.69457173</v>
      </c>
      <c r="H87" s="123" t="s">
        <v>91</v>
      </c>
      <c r="I87" s="243">
        <v>32.799999999999997</v>
      </c>
      <c r="J87" s="243">
        <f t="shared" si="1"/>
        <v>9.1111111111111107</v>
      </c>
      <c r="S87" s="82"/>
    </row>
    <row r="88" spans="1:19" x14ac:dyDescent="0.3">
      <c r="B88" s="127"/>
      <c r="C88" s="139" t="s">
        <v>583</v>
      </c>
      <c r="D88" s="139"/>
      <c r="E88" s="123"/>
      <c r="F88" s="147">
        <f>H63*I83+H64*I84</f>
        <v>3061268.3163568564</v>
      </c>
      <c r="H88" s="316" t="s">
        <v>791</v>
      </c>
      <c r="I88" s="317">
        <v>45.75</v>
      </c>
      <c r="J88" s="243">
        <f t="shared" si="1"/>
        <v>12.708333333333332</v>
      </c>
      <c r="S88" s="82"/>
    </row>
    <row r="89" spans="1:19" x14ac:dyDescent="0.3">
      <c r="B89" s="140"/>
      <c r="C89" s="139" t="s">
        <v>584</v>
      </c>
      <c r="D89" s="139"/>
      <c r="E89" s="123"/>
      <c r="F89" s="147">
        <f>I62*I82+I63*I83+I64*I84+I66*I85</f>
        <v>3535700.502716423</v>
      </c>
      <c r="H89" s="123" t="s">
        <v>790</v>
      </c>
      <c r="I89" s="318">
        <v>40.588999999999999</v>
      </c>
      <c r="J89" s="243">
        <f t="shared" si="1"/>
        <v>11.274722222222222</v>
      </c>
      <c r="S89" s="82"/>
    </row>
    <row r="90" spans="1:19" x14ac:dyDescent="0.3">
      <c r="B90" s="140"/>
      <c r="C90" s="139" t="s">
        <v>585</v>
      </c>
      <c r="D90" s="139"/>
      <c r="E90" s="123"/>
      <c r="F90" s="147">
        <f>K66*I85+K67*I86</f>
        <v>477009.85063155351</v>
      </c>
      <c r="S90" s="82"/>
    </row>
    <row r="91" spans="1:19" x14ac:dyDescent="0.3">
      <c r="B91" s="140"/>
      <c r="C91" s="139" t="s">
        <v>586</v>
      </c>
      <c r="D91" s="139"/>
      <c r="E91" s="123"/>
      <c r="F91" s="147">
        <f>J61*I80+J62*I82+J63*I83+J64*I84+J66*I85+J67*I86</f>
        <v>173952.37503542719</v>
      </c>
      <c r="S91" s="82"/>
    </row>
    <row r="92" spans="1:19" x14ac:dyDescent="0.3">
      <c r="B92" s="140"/>
      <c r="C92" s="139" t="s">
        <v>587</v>
      </c>
      <c r="D92" s="139"/>
      <c r="E92" s="123"/>
      <c r="F92" s="147">
        <f>L60*I81+L61*I80+L63*I83+L64*I84</f>
        <v>5344325.6498314682</v>
      </c>
      <c r="S92" s="82"/>
    </row>
    <row r="93" spans="1:19" x14ac:dyDescent="0.3">
      <c r="B93" s="140"/>
      <c r="C93" s="139"/>
      <c r="D93" s="139"/>
      <c r="E93" s="123"/>
      <c r="F93" s="147"/>
      <c r="S93" s="82"/>
    </row>
    <row r="94" spans="1:19" x14ac:dyDescent="0.3">
      <c r="B94" s="140" t="s">
        <v>591</v>
      </c>
      <c r="C94" s="139"/>
      <c r="D94" s="139"/>
      <c r="E94" s="123"/>
      <c r="F94" s="147">
        <f>SUM(F95:F99)</f>
        <v>9333494.4109999985</v>
      </c>
      <c r="H94" s="315">
        <f>F94/3.6</f>
        <v>2592637.3363888883</v>
      </c>
    </row>
    <row r="95" spans="1:19" x14ac:dyDescent="0.3">
      <c r="B95" s="140"/>
      <c r="C95" s="139" t="s">
        <v>592</v>
      </c>
      <c r="D95" s="139"/>
      <c r="E95" s="123"/>
      <c r="F95" s="147">
        <f>'DB_Aspen simulation_previous'!L173</f>
        <v>1106742.9610000001</v>
      </c>
      <c r="G95" s="141">
        <f>F95/3.6</f>
        <v>307428.60027777782</v>
      </c>
    </row>
    <row r="96" spans="1:19" x14ac:dyDescent="0.3">
      <c r="B96" s="140"/>
      <c r="C96" s="139" t="s">
        <v>593</v>
      </c>
      <c r="D96" s="139"/>
      <c r="E96" s="123"/>
      <c r="F96" s="147">
        <f>'DB_Aspen simulation_previous'!L182</f>
        <v>3447411</v>
      </c>
      <c r="G96" s="141">
        <f>F96/3.6</f>
        <v>957614.16666666663</v>
      </c>
    </row>
    <row r="97" spans="2:7" x14ac:dyDescent="0.3">
      <c r="B97" s="140"/>
      <c r="C97" s="139" t="s">
        <v>186</v>
      </c>
      <c r="D97" s="139"/>
      <c r="E97" s="123"/>
      <c r="F97" s="147">
        <f>'DB_Aspen simulation_previous'!L195</f>
        <v>4484990</v>
      </c>
      <c r="G97" s="141">
        <f>F97/3.6</f>
        <v>1245830.5555555555</v>
      </c>
    </row>
    <row r="98" spans="2:7" x14ac:dyDescent="0.3">
      <c r="B98" s="140"/>
      <c r="C98" s="139" t="s">
        <v>594</v>
      </c>
      <c r="D98" s="139"/>
      <c r="E98" s="123"/>
      <c r="F98" s="147">
        <f>'DB_Aspen simulation_previous'!L200</f>
        <v>7114.45</v>
      </c>
      <c r="G98" s="141">
        <f>F98/3.6</f>
        <v>1976.2361111111111</v>
      </c>
    </row>
    <row r="99" spans="2:7" x14ac:dyDescent="0.3">
      <c r="B99" s="140"/>
      <c r="C99" s="139" t="s">
        <v>595</v>
      </c>
      <c r="D99" s="139"/>
      <c r="E99" s="123"/>
      <c r="F99" s="147">
        <f>'DB_Aspen simulation_previous'!L205</f>
        <v>287236</v>
      </c>
      <c r="G99" s="141">
        <f>F99/3.6</f>
        <v>79787.777777777781</v>
      </c>
    </row>
    <row r="100" spans="2:7" ht="17.25" thickBot="1" x14ac:dyDescent="0.35">
      <c r="B100" s="191" t="s">
        <v>700</v>
      </c>
      <c r="C100" s="122"/>
      <c r="D100" s="122"/>
      <c r="E100" s="192"/>
      <c r="F100" s="193">
        <v>607303.37865599897</v>
      </c>
    </row>
    <row r="101" spans="2:7" x14ac:dyDescent="0.3">
      <c r="E101" s="82"/>
    </row>
    <row r="102" spans="2:7" x14ac:dyDescent="0.3">
      <c r="E102" s="82"/>
    </row>
    <row r="103" spans="2:7" x14ac:dyDescent="0.3">
      <c r="E103" s="82"/>
    </row>
    <row r="104" spans="2:7" x14ac:dyDescent="0.3">
      <c r="E104" s="82"/>
    </row>
    <row r="105" spans="2:7" x14ac:dyDescent="0.3">
      <c r="E105" s="82"/>
    </row>
    <row r="106" spans="2:7" x14ac:dyDescent="0.3">
      <c r="E106" s="82"/>
    </row>
    <row r="110" spans="2:7" x14ac:dyDescent="0.3">
      <c r="G110" s="82"/>
    </row>
  </sheetData>
  <mergeCells count="6">
    <mergeCell ref="B79:F79"/>
    <mergeCell ref="H2:J2"/>
    <mergeCell ref="H12:J12"/>
    <mergeCell ref="B2:F2"/>
    <mergeCell ref="B44:N44"/>
    <mergeCell ref="B74:F7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20ED-9E1B-4EFB-AC21-AAC524811DAF}">
  <dimension ref="B1:Q46"/>
  <sheetViews>
    <sheetView zoomScale="55" zoomScaleNormal="55" workbookViewId="0">
      <selection activeCell="U57" sqref="U57"/>
    </sheetView>
  </sheetViews>
  <sheetFormatPr defaultRowHeight="16.5" x14ac:dyDescent="0.3"/>
  <cols>
    <col min="2" max="2" width="25.875" bestFit="1" customWidth="1"/>
    <col min="6" max="6" width="8.75" customWidth="1"/>
    <col min="8" max="8" width="25.875" bestFit="1" customWidth="1"/>
    <col min="14" max="14" width="25.875" bestFit="1" customWidth="1"/>
  </cols>
  <sheetData>
    <row r="1" spans="2:17" ht="17.25" thickBot="1" x14ac:dyDescent="0.35">
      <c r="B1" s="508"/>
      <c r="C1" s="508"/>
      <c r="D1" s="507"/>
      <c r="E1" s="507"/>
      <c r="F1" s="508"/>
    </row>
    <row r="2" spans="2:17" x14ac:dyDescent="0.3">
      <c r="B2" s="516" t="s">
        <v>942</v>
      </c>
      <c r="C2" s="535" t="s">
        <v>936</v>
      </c>
      <c r="D2" s="535" t="s">
        <v>937</v>
      </c>
      <c r="E2" s="535" t="s">
        <v>935</v>
      </c>
      <c r="F2" s="536" t="s">
        <v>938</v>
      </c>
      <c r="H2" s="532" t="s">
        <v>943</v>
      </c>
      <c r="I2" s="535" t="s">
        <v>936</v>
      </c>
      <c r="J2" s="535" t="s">
        <v>937</v>
      </c>
      <c r="K2" s="535" t="s">
        <v>935</v>
      </c>
      <c r="L2" s="536" t="s">
        <v>938</v>
      </c>
      <c r="N2" s="503"/>
      <c r="O2" s="504" t="s">
        <v>939</v>
      </c>
      <c r="P2" s="505" t="s">
        <v>747</v>
      </c>
      <c r="Q2" s="506" t="s">
        <v>940</v>
      </c>
    </row>
    <row r="3" spans="2:17" x14ac:dyDescent="0.3">
      <c r="B3" s="537"/>
      <c r="C3" s="543">
        <v>1.1398261102723638E-2</v>
      </c>
      <c r="D3" s="543">
        <v>0.72559845096446551</v>
      </c>
      <c r="E3" s="543">
        <v>0.63378365387857949</v>
      </c>
      <c r="F3" s="544">
        <v>1.7568790493526292</v>
      </c>
      <c r="H3" s="538"/>
      <c r="I3" s="543">
        <v>1.1398261102723638E-2</v>
      </c>
      <c r="J3" s="543">
        <v>0.72559845096446551</v>
      </c>
      <c r="K3" s="543">
        <v>0.63378365387857949</v>
      </c>
      <c r="L3" s="544">
        <v>1.7568790493526292</v>
      </c>
      <c r="N3" s="539"/>
      <c r="O3" s="540"/>
      <c r="P3" s="541"/>
      <c r="Q3" s="542"/>
    </row>
    <row r="4" spans="2:17" x14ac:dyDescent="0.3">
      <c r="B4" s="509" t="s">
        <v>941</v>
      </c>
      <c r="C4" s="517">
        <v>-9.1276694943348072E-2</v>
      </c>
      <c r="D4" s="517">
        <v>0.65479020104462538</v>
      </c>
      <c r="E4" s="517">
        <v>0.52282630550217213</v>
      </c>
      <c r="F4" s="518">
        <v>1.6903550120766337</v>
      </c>
      <c r="H4" s="509" t="s">
        <v>941</v>
      </c>
      <c r="I4" s="517">
        <v>0.11407321714879563</v>
      </c>
      <c r="J4" s="517">
        <v>0.79640670088430554</v>
      </c>
      <c r="K4" s="517">
        <v>0.74474100225498674</v>
      </c>
      <c r="L4" s="518">
        <v>1.8234030866286246</v>
      </c>
      <c r="N4" s="509" t="s">
        <v>941</v>
      </c>
      <c r="O4" s="510">
        <f>P4*0.8</f>
        <v>2.6160000000000001</v>
      </c>
      <c r="P4" s="510">
        <v>3.27</v>
      </c>
      <c r="Q4" s="511">
        <f>P4*1.2</f>
        <v>3.9239999999999999</v>
      </c>
    </row>
    <row r="5" spans="2:17" x14ac:dyDescent="0.3">
      <c r="B5" s="509" t="s">
        <v>948</v>
      </c>
      <c r="C5" s="517">
        <v>0.20951934295914248</v>
      </c>
      <c r="D5" s="517">
        <v>0.92371953282088437</v>
      </c>
      <c r="E5" s="517">
        <v>0.81314820022092371</v>
      </c>
      <c r="F5" s="518">
        <v>1.9362435956949733</v>
      </c>
      <c r="H5" s="509" t="s">
        <v>948</v>
      </c>
      <c r="I5" s="517">
        <v>-0.18672282075369506</v>
      </c>
      <c r="J5" s="517">
        <v>0.52747736910804677</v>
      </c>
      <c r="K5" s="517">
        <v>0.45441910753623549</v>
      </c>
      <c r="L5" s="518">
        <v>1.5775145030102853</v>
      </c>
      <c r="N5" s="509" t="s">
        <v>948</v>
      </c>
      <c r="O5" s="512">
        <f>P5*0.8</f>
        <v>3.16</v>
      </c>
      <c r="P5" s="512">
        <v>3.95</v>
      </c>
      <c r="Q5" s="513">
        <f>P5*1.2</f>
        <v>4.74</v>
      </c>
    </row>
    <row r="6" spans="2:17" x14ac:dyDescent="0.3">
      <c r="B6" s="509" t="s">
        <v>945</v>
      </c>
      <c r="C6" s="517">
        <v>-3.3692490953760215E-2</v>
      </c>
      <c r="D6" s="517">
        <v>0.72559845096446551</v>
      </c>
      <c r="E6" s="517">
        <v>0.53240549986423369</v>
      </c>
      <c r="F6" s="518">
        <v>1.7568790493526292</v>
      </c>
      <c r="H6" s="509" t="s">
        <v>945</v>
      </c>
      <c r="I6" s="517">
        <v>5.6489013159207492E-2</v>
      </c>
      <c r="J6" s="517">
        <v>0.72559845096446551</v>
      </c>
      <c r="K6" s="517">
        <v>0.73516180789292573</v>
      </c>
      <c r="L6" s="518">
        <v>1.7568790493526292</v>
      </c>
      <c r="N6" s="509" t="s">
        <v>945</v>
      </c>
      <c r="O6" s="512">
        <f>P6*0.8</f>
        <v>5.5200000000000006E-2</v>
      </c>
      <c r="P6" s="512">
        <v>6.9000000000000006E-2</v>
      </c>
      <c r="Q6" s="513">
        <f>P6*1.2</f>
        <v>8.2799999999999999E-2</v>
      </c>
    </row>
    <row r="7" spans="2:17" x14ac:dyDescent="0.3">
      <c r="B7" s="509" t="s">
        <v>946</v>
      </c>
      <c r="C7" s="517">
        <v>1.1398261102723638E-2</v>
      </c>
      <c r="D7" s="517">
        <v>0.47269002527893028</v>
      </c>
      <c r="E7" s="517">
        <v>0.63378365387857949</v>
      </c>
      <c r="F7" s="518">
        <v>1.3457684152158531</v>
      </c>
      <c r="H7" s="509" t="s">
        <v>946</v>
      </c>
      <c r="I7" s="517">
        <v>1.1398261102723638E-2</v>
      </c>
      <c r="J7" s="517">
        <v>0.97850687665000013</v>
      </c>
      <c r="K7" s="517">
        <v>0.63378365387857949</v>
      </c>
      <c r="L7" s="518">
        <v>2.1679896834894046</v>
      </c>
      <c r="N7" s="509" t="s">
        <v>946</v>
      </c>
      <c r="O7" s="512">
        <f>P7*0.8</f>
        <v>7.6800000000000007E-2</v>
      </c>
      <c r="P7" s="512">
        <v>9.6000000000000002E-2</v>
      </c>
      <c r="Q7" s="513">
        <f>P7*1.2</f>
        <v>0.1152</v>
      </c>
    </row>
    <row r="8" spans="2:17" ht="17.25" thickBot="1" x14ac:dyDescent="0.35">
      <c r="B8" s="515" t="s">
        <v>723</v>
      </c>
      <c r="C8" s="519">
        <v>-2.1327409777489922E-2</v>
      </c>
      <c r="D8" s="519">
        <v>0.69503011707720863</v>
      </c>
      <c r="E8" s="519">
        <v>0.5939100800624395</v>
      </c>
      <c r="F8" s="520">
        <v>1.717220596910165</v>
      </c>
      <c r="H8" s="515" t="s">
        <v>723</v>
      </c>
      <c r="I8" s="519">
        <v>4.5846188870534869E-2</v>
      </c>
      <c r="J8" s="519">
        <v>0.75777550736721855</v>
      </c>
      <c r="K8" s="519">
        <v>0.67575565792673342</v>
      </c>
      <c r="L8" s="520">
        <v>1.7986246108148136</v>
      </c>
      <c r="N8" s="515" t="s">
        <v>723</v>
      </c>
      <c r="O8" s="533">
        <f>P8*0.8</f>
        <v>6.4000000000000001E-2</v>
      </c>
      <c r="P8" s="533">
        <v>0.08</v>
      </c>
      <c r="Q8" s="534">
        <f>P8*1.2</f>
        <v>9.6000000000000002E-2</v>
      </c>
    </row>
    <row r="9" spans="2:17" x14ac:dyDescent="0.3">
      <c r="B9" s="508"/>
      <c r="C9" s="508"/>
      <c r="D9" s="514"/>
      <c r="E9" s="514"/>
      <c r="F9" s="508"/>
    </row>
    <row r="10" spans="2:17" x14ac:dyDescent="0.3">
      <c r="B10" s="508"/>
      <c r="C10" s="508"/>
      <c r="D10" s="521"/>
      <c r="E10" s="521"/>
      <c r="F10" s="508"/>
    </row>
    <row r="12" spans="2:17" ht="17.25" thickBot="1" x14ac:dyDescent="0.35">
      <c r="B12" s="523" t="str">
        <f>C2</f>
        <v>Case 4_FH</v>
      </c>
      <c r="C12" s="524" t="s">
        <v>947</v>
      </c>
      <c r="D12" s="548">
        <f>C3</f>
        <v>1.1398261102723638E-2</v>
      </c>
      <c r="E12" s="522"/>
      <c r="F12" s="522"/>
    </row>
    <row r="13" spans="2:17" x14ac:dyDescent="0.3">
      <c r="B13" s="525"/>
      <c r="C13" s="581" t="s">
        <v>818</v>
      </c>
      <c r="D13" s="581"/>
      <c r="E13" s="581" t="s">
        <v>944</v>
      </c>
      <c r="F13" s="582"/>
    </row>
    <row r="14" spans="2:17" x14ac:dyDescent="0.3">
      <c r="B14" s="509"/>
      <c r="C14" s="545" t="s">
        <v>939</v>
      </c>
      <c r="D14" s="546" t="s">
        <v>940</v>
      </c>
      <c r="E14" s="545" t="s">
        <v>939</v>
      </c>
      <c r="F14" s="526" t="s">
        <v>940</v>
      </c>
    </row>
    <row r="15" spans="2:17" x14ac:dyDescent="0.3">
      <c r="B15" s="509" t="s">
        <v>941</v>
      </c>
      <c r="C15" s="547">
        <f>C4</f>
        <v>-9.1276694943348072E-2</v>
      </c>
      <c r="D15" s="547">
        <f>I4</f>
        <v>0.11407321714879563</v>
      </c>
      <c r="E15" s="527">
        <f t="shared" ref="E15:F19" si="0">(C15-$D$12)/$D$12</f>
        <v>-9.0079491179174092</v>
      </c>
      <c r="F15" s="528">
        <f t="shared" si="0"/>
        <v>9.007949117917434</v>
      </c>
    </row>
    <row r="16" spans="2:17" x14ac:dyDescent="0.3">
      <c r="B16" s="509" t="s">
        <v>948</v>
      </c>
      <c r="C16" s="547">
        <f>C5</f>
        <v>0.20951934295914248</v>
      </c>
      <c r="D16" s="547">
        <f>I5</f>
        <v>-0.18672282075369506</v>
      </c>
      <c r="E16" s="527">
        <f t="shared" si="0"/>
        <v>17.381693582109417</v>
      </c>
      <c r="F16" s="528">
        <f t="shared" si="0"/>
        <v>-17.381693582109403</v>
      </c>
    </row>
    <row r="17" spans="2:6" x14ac:dyDescent="0.3">
      <c r="B17" s="509" t="s">
        <v>945</v>
      </c>
      <c r="C17" s="547">
        <f>C6</f>
        <v>-3.3692490953760215E-2</v>
      </c>
      <c r="D17" s="547">
        <f>I6</f>
        <v>5.6489013159207492E-2</v>
      </c>
      <c r="E17" s="527">
        <f t="shared" si="0"/>
        <v>-3.9559325453344218</v>
      </c>
      <c r="F17" s="528">
        <f t="shared" si="0"/>
        <v>3.9559325453344218</v>
      </c>
    </row>
    <row r="18" spans="2:6" x14ac:dyDescent="0.3">
      <c r="B18" s="509" t="s">
        <v>946</v>
      </c>
      <c r="C18" s="547">
        <f>C7</f>
        <v>1.1398261102723638E-2</v>
      </c>
      <c r="D18" s="547">
        <f>I7</f>
        <v>1.1398261102723638E-2</v>
      </c>
      <c r="E18" s="527">
        <f t="shared" si="0"/>
        <v>0</v>
      </c>
      <c r="F18" s="528">
        <f t="shared" si="0"/>
        <v>0</v>
      </c>
    </row>
    <row r="19" spans="2:6" ht="17.25" thickBot="1" x14ac:dyDescent="0.35">
      <c r="B19" s="515" t="s">
        <v>723</v>
      </c>
      <c r="C19" s="529">
        <f>C8</f>
        <v>-2.1327409777489922E-2</v>
      </c>
      <c r="D19" s="529">
        <f>I8</f>
        <v>4.5846188870534869E-2</v>
      </c>
      <c r="E19" s="530">
        <f t="shared" si="0"/>
        <v>-2.8711108286854117</v>
      </c>
      <c r="F19" s="531">
        <f t="shared" si="0"/>
        <v>3.0222090420072787</v>
      </c>
    </row>
    <row r="20" spans="2:6" x14ac:dyDescent="0.3">
      <c r="F20" s="517"/>
    </row>
    <row r="21" spans="2:6" ht="17.25" thickBot="1" x14ac:dyDescent="0.35">
      <c r="B21" s="523" t="str">
        <f>D2</f>
        <v>Case 4_efurnace</v>
      </c>
      <c r="C21" s="524" t="s">
        <v>947</v>
      </c>
      <c r="D21" s="548">
        <f>D3</f>
        <v>0.72559845096446551</v>
      </c>
      <c r="E21" s="522"/>
      <c r="F21" s="522"/>
    </row>
    <row r="22" spans="2:6" x14ac:dyDescent="0.3">
      <c r="B22" s="525"/>
      <c r="C22" s="581" t="s">
        <v>818</v>
      </c>
      <c r="D22" s="581"/>
      <c r="E22" s="581" t="s">
        <v>944</v>
      </c>
      <c r="F22" s="582"/>
    </row>
    <row r="23" spans="2:6" x14ac:dyDescent="0.3">
      <c r="B23" s="509"/>
      <c r="C23" s="545" t="s">
        <v>939</v>
      </c>
      <c r="D23" s="546" t="s">
        <v>940</v>
      </c>
      <c r="E23" s="545" t="s">
        <v>939</v>
      </c>
      <c r="F23" s="526" t="s">
        <v>940</v>
      </c>
    </row>
    <row r="24" spans="2:6" x14ac:dyDescent="0.3">
      <c r="B24" s="509" t="s">
        <v>941</v>
      </c>
      <c r="C24" s="547">
        <f>D4</f>
        <v>0.65479020104462538</v>
      </c>
      <c r="D24" s="547">
        <f>J4</f>
        <v>0.79640670088430554</v>
      </c>
      <c r="E24" s="527">
        <f t="shared" ref="E24:F28" si="1">(C24-$D$21)/$D$21</f>
        <v>-9.758599928889293E-2</v>
      </c>
      <c r="F24" s="528">
        <f t="shared" si="1"/>
        <v>9.7585999288892764E-2</v>
      </c>
    </row>
    <row r="25" spans="2:6" x14ac:dyDescent="0.3">
      <c r="B25" s="509" t="s">
        <v>948</v>
      </c>
      <c r="C25" s="547">
        <f>D5</f>
        <v>0.92371953282088437</v>
      </c>
      <c r="D25" s="547">
        <f>J5</f>
        <v>0.52747736910804677</v>
      </c>
      <c r="E25" s="527">
        <f t="shared" si="1"/>
        <v>0.27304507278519724</v>
      </c>
      <c r="F25" s="528">
        <f t="shared" si="1"/>
        <v>-0.27304507278519707</v>
      </c>
    </row>
    <row r="26" spans="2:6" x14ac:dyDescent="0.3">
      <c r="B26" s="509" t="s">
        <v>945</v>
      </c>
      <c r="C26" s="547">
        <f>D6</f>
        <v>0.72559845096446551</v>
      </c>
      <c r="D26" s="547">
        <f>J6</f>
        <v>0.72559845096446551</v>
      </c>
      <c r="E26" s="527">
        <f t="shared" si="1"/>
        <v>0</v>
      </c>
      <c r="F26" s="528">
        <f t="shared" si="1"/>
        <v>0</v>
      </c>
    </row>
    <row r="27" spans="2:6" x14ac:dyDescent="0.3">
      <c r="B27" s="509" t="s">
        <v>946</v>
      </c>
      <c r="C27" s="547">
        <f>D7</f>
        <v>0.47269002527893028</v>
      </c>
      <c r="D27" s="547">
        <f>J7</f>
        <v>0.97850687665000013</v>
      </c>
      <c r="E27" s="527">
        <f t="shared" si="1"/>
        <v>-0.34855149614689684</v>
      </c>
      <c r="F27" s="528">
        <f t="shared" si="1"/>
        <v>0.34855149614689601</v>
      </c>
    </row>
    <row r="28" spans="2:6" ht="17.25" thickBot="1" x14ac:dyDescent="0.35">
      <c r="B28" s="515" t="s">
        <v>723</v>
      </c>
      <c r="C28" s="529">
        <f>D8</f>
        <v>0.69503011707720863</v>
      </c>
      <c r="D28" s="529">
        <f>J8</f>
        <v>0.75777550736721855</v>
      </c>
      <c r="E28" s="530">
        <f t="shared" si="1"/>
        <v>-4.2128444247125182E-2</v>
      </c>
      <c r="F28" s="531">
        <f t="shared" si="1"/>
        <v>4.4345541752443506E-2</v>
      </c>
    </row>
    <row r="30" spans="2:6" ht="17.25" thickBot="1" x14ac:dyDescent="0.35">
      <c r="B30" s="523" t="str">
        <f>E2</f>
        <v>Case 5_FH</v>
      </c>
      <c r="C30" s="524" t="s">
        <v>947</v>
      </c>
      <c r="D30" s="548">
        <f>E3</f>
        <v>0.63378365387857949</v>
      </c>
      <c r="E30" s="522"/>
      <c r="F30" s="522"/>
    </row>
    <row r="31" spans="2:6" x14ac:dyDescent="0.3">
      <c r="B31" s="525"/>
      <c r="C31" s="581" t="s">
        <v>818</v>
      </c>
      <c r="D31" s="581"/>
      <c r="E31" s="581" t="s">
        <v>944</v>
      </c>
      <c r="F31" s="582"/>
    </row>
    <row r="32" spans="2:6" x14ac:dyDescent="0.3">
      <c r="B32" s="509"/>
      <c r="C32" s="545" t="s">
        <v>939</v>
      </c>
      <c r="D32" s="546" t="s">
        <v>940</v>
      </c>
      <c r="E32" s="545" t="s">
        <v>939</v>
      </c>
      <c r="F32" s="526" t="s">
        <v>940</v>
      </c>
    </row>
    <row r="33" spans="2:6" x14ac:dyDescent="0.3">
      <c r="B33" s="509" t="s">
        <v>941</v>
      </c>
      <c r="C33" s="547">
        <f>E4</f>
        <v>0.52282630550217213</v>
      </c>
      <c r="D33" s="547">
        <f>K4</f>
        <v>0.74474100225498674</v>
      </c>
      <c r="E33" s="527">
        <f t="shared" ref="E33:F37" si="2">(C33-$D$30)/$D$30</f>
        <v>-0.17507133182968554</v>
      </c>
      <c r="F33" s="528">
        <f t="shared" si="2"/>
        <v>0.17507133182968537</v>
      </c>
    </row>
    <row r="34" spans="2:6" x14ac:dyDescent="0.3">
      <c r="B34" s="509" t="s">
        <v>948</v>
      </c>
      <c r="C34" s="547">
        <f>E5</f>
        <v>0.81314820022092371</v>
      </c>
      <c r="D34" s="547">
        <f>K5</f>
        <v>0.45441910753623549</v>
      </c>
      <c r="E34" s="527">
        <f t="shared" si="2"/>
        <v>0.28300595202271805</v>
      </c>
      <c r="F34" s="528">
        <f t="shared" si="2"/>
        <v>-0.28300595202271772</v>
      </c>
    </row>
    <row r="35" spans="2:6" x14ac:dyDescent="0.3">
      <c r="B35" s="509" t="s">
        <v>945</v>
      </c>
      <c r="C35" s="547">
        <f>E6</f>
        <v>0.53240549986423369</v>
      </c>
      <c r="D35" s="547">
        <f>K6</f>
        <v>0.73516180789292573</v>
      </c>
      <c r="E35" s="527">
        <f t="shared" si="2"/>
        <v>-0.15995703485556897</v>
      </c>
      <c r="F35" s="528">
        <f t="shared" si="2"/>
        <v>0.15995703485556967</v>
      </c>
    </row>
    <row r="36" spans="2:6" x14ac:dyDescent="0.3">
      <c r="B36" s="509" t="s">
        <v>946</v>
      </c>
      <c r="C36" s="547">
        <f>E7</f>
        <v>0.63378365387857949</v>
      </c>
      <c r="D36" s="547">
        <f>K7</f>
        <v>0.63378365387857949</v>
      </c>
      <c r="E36" s="527">
        <f t="shared" si="2"/>
        <v>0</v>
      </c>
      <c r="F36" s="528">
        <f t="shared" si="2"/>
        <v>0</v>
      </c>
    </row>
    <row r="37" spans="2:6" ht="17.25" thickBot="1" x14ac:dyDescent="0.35">
      <c r="B37" s="515" t="s">
        <v>723</v>
      </c>
      <c r="C37" s="529">
        <f>E8</f>
        <v>0.5939100800624395</v>
      </c>
      <c r="D37" s="529">
        <f>K8</f>
        <v>0.67575565792673342</v>
      </c>
      <c r="E37" s="530">
        <f t="shared" si="2"/>
        <v>-6.2913540878065902E-2</v>
      </c>
      <c r="F37" s="531">
        <f t="shared" si="2"/>
        <v>6.6224497573102364E-2</v>
      </c>
    </row>
    <row r="39" spans="2:6" ht="17.25" thickBot="1" x14ac:dyDescent="0.35">
      <c r="B39" s="523" t="str">
        <f>F2</f>
        <v>Case 5_efurnace</v>
      </c>
      <c r="C39" s="524" t="s">
        <v>947</v>
      </c>
      <c r="D39" s="548">
        <f>F3</f>
        <v>1.7568790493526292</v>
      </c>
      <c r="E39" s="522"/>
      <c r="F39" s="522"/>
    </row>
    <row r="40" spans="2:6" x14ac:dyDescent="0.3">
      <c r="B40" s="525"/>
      <c r="C40" s="581" t="s">
        <v>818</v>
      </c>
      <c r="D40" s="581"/>
      <c r="E40" s="581" t="s">
        <v>944</v>
      </c>
      <c r="F40" s="582"/>
    </row>
    <row r="41" spans="2:6" x14ac:dyDescent="0.3">
      <c r="B41" s="509"/>
      <c r="C41" s="545" t="s">
        <v>939</v>
      </c>
      <c r="D41" s="546" t="s">
        <v>940</v>
      </c>
      <c r="E41" s="545" t="s">
        <v>939</v>
      </c>
      <c r="F41" s="526" t="s">
        <v>940</v>
      </c>
    </row>
    <row r="42" spans="2:6" x14ac:dyDescent="0.3">
      <c r="B42" s="509" t="s">
        <v>941</v>
      </c>
      <c r="C42" s="547">
        <f>F4</f>
        <v>1.6903550120766337</v>
      </c>
      <c r="D42" s="547">
        <f>L4</f>
        <v>1.8234030866286246</v>
      </c>
      <c r="E42" s="527">
        <f t="shared" ref="E42:F46" si="3">(C42-$D$39)/$D$39</f>
        <v>-3.7864893033193181E-2</v>
      </c>
      <c r="F42" s="528">
        <f t="shared" si="3"/>
        <v>3.7864893033193181E-2</v>
      </c>
    </row>
    <row r="43" spans="2:6" x14ac:dyDescent="0.3">
      <c r="B43" s="509" t="s">
        <v>948</v>
      </c>
      <c r="C43" s="547">
        <f>F5</f>
        <v>1.9362435956949733</v>
      </c>
      <c r="D43" s="547">
        <f>L5</f>
        <v>1.5775145030102853</v>
      </c>
      <c r="E43" s="527">
        <f t="shared" si="3"/>
        <v>0.10209271173700657</v>
      </c>
      <c r="F43" s="528">
        <f t="shared" si="3"/>
        <v>-0.10209271173700644</v>
      </c>
    </row>
    <row r="44" spans="2:6" x14ac:dyDescent="0.3">
      <c r="B44" s="509" t="s">
        <v>945</v>
      </c>
      <c r="C44" s="547">
        <f>F6</f>
        <v>1.7568790493526292</v>
      </c>
      <c r="D44" s="547">
        <f>L6</f>
        <v>1.7568790493526292</v>
      </c>
      <c r="E44" s="527">
        <f t="shared" si="3"/>
        <v>0</v>
      </c>
      <c r="F44" s="528">
        <f t="shared" si="3"/>
        <v>0</v>
      </c>
    </row>
    <row r="45" spans="2:6" x14ac:dyDescent="0.3">
      <c r="B45" s="509" t="s">
        <v>946</v>
      </c>
      <c r="C45" s="547">
        <f>F7</f>
        <v>1.3457684152158531</v>
      </c>
      <c r="D45" s="547">
        <f>L7</f>
        <v>2.1679896834894046</v>
      </c>
      <c r="E45" s="527">
        <f t="shared" si="3"/>
        <v>-0.23400053309774579</v>
      </c>
      <c r="F45" s="528">
        <f t="shared" si="3"/>
        <v>0.23400053309774541</v>
      </c>
    </row>
    <row r="46" spans="2:6" ht="17.25" thickBot="1" x14ac:dyDescent="0.35">
      <c r="B46" s="515" t="s">
        <v>723</v>
      </c>
      <c r="C46" s="529">
        <f>F8</f>
        <v>1.717220596910165</v>
      </c>
      <c r="D46" s="529">
        <f>L8</f>
        <v>1.7986246108148136</v>
      </c>
      <c r="E46" s="530">
        <f t="shared" si="3"/>
        <v>-2.2573240005951116E-2</v>
      </c>
      <c r="F46" s="531">
        <f t="shared" si="3"/>
        <v>2.3761203981325155E-2</v>
      </c>
    </row>
  </sheetData>
  <mergeCells count="8">
    <mergeCell ref="C40:D40"/>
    <mergeCell ref="E40:F40"/>
    <mergeCell ref="C13:D13"/>
    <mergeCell ref="E13:F13"/>
    <mergeCell ref="C22:D22"/>
    <mergeCell ref="E22:F22"/>
    <mergeCell ref="C31:D31"/>
    <mergeCell ref="E31:F31"/>
  </mergeCells>
  <phoneticPr fontId="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3897-8497-4C7F-AEC3-D544BCAA25FD}">
  <dimension ref="A2:Z75"/>
  <sheetViews>
    <sheetView topLeftCell="G1" zoomScale="85" zoomScaleNormal="85" workbookViewId="0">
      <selection activeCell="AA28" sqref="AA28"/>
    </sheetView>
  </sheetViews>
  <sheetFormatPr defaultColWidth="8.75" defaultRowHeight="16.5" x14ac:dyDescent="0.3"/>
  <cols>
    <col min="1" max="4" width="8.75" style="486"/>
    <col min="5" max="5" width="31.25" style="486" customWidth="1"/>
    <col min="6" max="9" width="8.75" style="486"/>
    <col min="10" max="10" width="33.5" style="486" bestFit="1" customWidth="1"/>
    <col min="11" max="14" width="8.75" style="486"/>
    <col min="15" max="15" width="15.875" style="486" customWidth="1"/>
    <col min="16" max="16" width="13.5" style="487" bestFit="1" customWidth="1"/>
    <col min="17" max="17" width="17.25" style="486" bestFit="1" customWidth="1"/>
    <col min="18" max="18" width="9.25" style="486" bestFit="1" customWidth="1"/>
    <col min="19" max="19" width="9.75" style="486" bestFit="1" customWidth="1"/>
    <col min="20" max="20" width="9.25" style="486" bestFit="1" customWidth="1"/>
    <col min="21" max="16384" width="8.75" style="486"/>
  </cols>
  <sheetData>
    <row r="2" spans="2:20" x14ac:dyDescent="0.3">
      <c r="C2" s="486" t="s">
        <v>856</v>
      </c>
      <c r="E2" s="486" t="s">
        <v>857</v>
      </c>
      <c r="F2" s="486" t="s">
        <v>858</v>
      </c>
      <c r="H2" s="486" t="s">
        <v>859</v>
      </c>
      <c r="J2" s="486" t="s">
        <v>860</v>
      </c>
      <c r="K2" s="486" t="s">
        <v>861</v>
      </c>
      <c r="M2" s="486" t="s">
        <v>862</v>
      </c>
      <c r="O2" s="486" t="s">
        <v>863</v>
      </c>
      <c r="P2" s="487" t="s">
        <v>864</v>
      </c>
      <c r="Q2" s="486" t="s">
        <v>865</v>
      </c>
    </row>
    <row r="3" spans="2:20" x14ac:dyDescent="0.3">
      <c r="B3" s="486">
        <v>1</v>
      </c>
      <c r="C3" s="486" t="s">
        <v>866</v>
      </c>
      <c r="E3" s="486" t="s">
        <v>867</v>
      </c>
      <c r="F3" s="488">
        <v>-152.581270659719</v>
      </c>
      <c r="H3" s="488">
        <v>35</v>
      </c>
      <c r="I3" s="486">
        <v>1</v>
      </c>
      <c r="J3" s="486" t="s">
        <v>868</v>
      </c>
      <c r="K3" s="488">
        <v>1230</v>
      </c>
      <c r="M3" s="488">
        <v>697.77413053579801</v>
      </c>
      <c r="N3" s="486" t="b">
        <v>0</v>
      </c>
      <c r="O3" s="489">
        <v>77245001.582805306</v>
      </c>
      <c r="P3" s="490">
        <f t="shared" ref="P3:P26" si="0">O3/3600000</f>
        <v>21.456944884112584</v>
      </c>
      <c r="Q3" s="488">
        <v>2209.5049738268599</v>
      </c>
      <c r="S3" s="486">
        <v>1195</v>
      </c>
      <c r="T3" s="486">
        <v>850.35540119551695</v>
      </c>
    </row>
    <row r="4" spans="2:20" x14ac:dyDescent="0.3">
      <c r="B4" s="486">
        <v>2</v>
      </c>
      <c r="C4" s="486" t="s">
        <v>869</v>
      </c>
      <c r="E4" s="486" t="s">
        <v>870</v>
      </c>
      <c r="F4" s="488">
        <v>33.115670399999999</v>
      </c>
      <c r="H4" s="488">
        <v>708.070381</v>
      </c>
      <c r="I4" s="486">
        <v>1</v>
      </c>
      <c r="J4" s="486" t="s">
        <v>868</v>
      </c>
      <c r="K4" s="488">
        <v>1230</v>
      </c>
      <c r="M4" s="488">
        <v>697.77413053579801</v>
      </c>
      <c r="N4" s="486" t="b">
        <v>0</v>
      </c>
      <c r="O4" s="489">
        <v>2715390748.7486601</v>
      </c>
      <c r="P4" s="490">
        <f t="shared" si="0"/>
        <v>754.27520798573892</v>
      </c>
      <c r="Q4" s="488">
        <v>231868.91329458001</v>
      </c>
      <c r="S4" s="486">
        <v>521.929619</v>
      </c>
      <c r="T4" s="486">
        <v>664.65846013579801</v>
      </c>
    </row>
    <row r="5" spans="2:20" x14ac:dyDescent="0.3">
      <c r="B5" s="486">
        <v>3</v>
      </c>
      <c r="C5" s="486" t="s">
        <v>871</v>
      </c>
      <c r="E5" s="486" t="s">
        <v>872</v>
      </c>
      <c r="F5" s="488">
        <v>15</v>
      </c>
      <c r="H5" s="488">
        <v>35</v>
      </c>
      <c r="I5" s="486">
        <v>1</v>
      </c>
      <c r="J5" s="486" t="s">
        <v>868</v>
      </c>
      <c r="K5" s="488">
        <v>697.77413053579801</v>
      </c>
      <c r="M5" s="488">
        <v>666.15607037386405</v>
      </c>
      <c r="N5" s="486" t="b">
        <v>0</v>
      </c>
      <c r="O5" s="489">
        <v>41005772.928975001</v>
      </c>
      <c r="P5" s="490">
        <f t="shared" si="0"/>
        <v>11.390492480270833</v>
      </c>
      <c r="Q5" s="488">
        <v>524.36286141868902</v>
      </c>
      <c r="S5" s="486">
        <v>662.77413053579801</v>
      </c>
      <c r="T5" s="486">
        <v>651.15607037386405</v>
      </c>
    </row>
    <row r="6" spans="2:20" x14ac:dyDescent="0.3">
      <c r="B6" s="486">
        <v>4</v>
      </c>
      <c r="C6" s="486" t="s">
        <v>873</v>
      </c>
      <c r="E6" s="486" t="s">
        <v>874</v>
      </c>
      <c r="F6" s="488">
        <v>-124.977037</v>
      </c>
      <c r="H6" s="488">
        <v>35</v>
      </c>
      <c r="I6" s="486">
        <v>1</v>
      </c>
      <c r="J6" s="486" t="s">
        <v>868</v>
      </c>
      <c r="K6" s="488">
        <v>697.77413053579801</v>
      </c>
      <c r="M6" s="488">
        <v>666.15607037386405</v>
      </c>
      <c r="N6" s="486" t="b">
        <v>0</v>
      </c>
      <c r="O6" s="489">
        <v>105911773.65742999</v>
      </c>
      <c r="P6" s="490">
        <f t="shared" si="0"/>
        <v>29.419937127063886</v>
      </c>
      <c r="Q6" s="488">
        <v>1517.8128437673499</v>
      </c>
      <c r="S6" s="486">
        <v>662.77413053579801</v>
      </c>
      <c r="T6" s="486">
        <v>791.13310737386405</v>
      </c>
    </row>
    <row r="7" spans="2:20" x14ac:dyDescent="0.3">
      <c r="B7" s="486">
        <v>5</v>
      </c>
      <c r="C7" s="486" t="s">
        <v>875</v>
      </c>
      <c r="E7" s="486" t="s">
        <v>872</v>
      </c>
      <c r="F7" s="488">
        <v>1.6634649743511101</v>
      </c>
      <c r="H7" s="488">
        <v>15</v>
      </c>
      <c r="I7" s="486">
        <v>1</v>
      </c>
      <c r="J7" s="486" t="s">
        <v>876</v>
      </c>
      <c r="K7" s="488">
        <v>35</v>
      </c>
      <c r="M7" s="488">
        <v>27.1146207730899</v>
      </c>
      <c r="N7" s="486">
        <v>1</v>
      </c>
      <c r="O7" s="489">
        <v>27343746.3460541</v>
      </c>
      <c r="P7" s="490">
        <f t="shared" si="0"/>
        <v>7.5954850961261391</v>
      </c>
      <c r="Q7" s="488">
        <v>2627.5200166150298</v>
      </c>
      <c r="S7" s="486">
        <v>20</v>
      </c>
      <c r="T7" s="486">
        <v>25.4511557987388</v>
      </c>
    </row>
    <row r="8" spans="2:20" x14ac:dyDescent="0.3">
      <c r="B8" s="486">
        <v>6</v>
      </c>
      <c r="C8" s="491" t="s">
        <v>877</v>
      </c>
      <c r="D8" s="491"/>
      <c r="E8" s="491" t="s">
        <v>787</v>
      </c>
      <c r="F8" s="492">
        <v>20</v>
      </c>
      <c r="G8" s="491"/>
      <c r="H8" s="492">
        <v>25</v>
      </c>
      <c r="I8" s="491" t="b">
        <v>0</v>
      </c>
      <c r="J8" s="491" t="s">
        <v>868</v>
      </c>
      <c r="K8" s="492">
        <v>666.15607037386405</v>
      </c>
      <c r="L8" s="491"/>
      <c r="M8" s="492">
        <v>95.001737323218407</v>
      </c>
      <c r="N8" s="491">
        <v>1</v>
      </c>
      <c r="O8" s="493">
        <v>2391974034.50247</v>
      </c>
      <c r="P8" s="494">
        <f t="shared" si="0"/>
        <v>664.4372318062417</v>
      </c>
      <c r="Q8" s="492">
        <v>63656.534207650002</v>
      </c>
      <c r="R8" s="491"/>
      <c r="S8" s="491">
        <v>641.15607037386405</v>
      </c>
      <c r="T8" s="491">
        <v>75.001737323218407</v>
      </c>
    </row>
    <row r="9" spans="2:20" x14ac:dyDescent="0.3">
      <c r="B9" s="486">
        <v>7</v>
      </c>
      <c r="C9" s="486" t="s">
        <v>878</v>
      </c>
      <c r="E9" s="486" t="s">
        <v>872</v>
      </c>
      <c r="F9" s="488">
        <v>-119.473661440684</v>
      </c>
      <c r="H9" s="488">
        <v>1.6634649743511101</v>
      </c>
      <c r="I9" s="486">
        <v>1</v>
      </c>
      <c r="J9" s="486" t="s">
        <v>868</v>
      </c>
      <c r="K9" s="488">
        <v>95.001737323218407</v>
      </c>
      <c r="M9" s="488">
        <v>30</v>
      </c>
      <c r="N9" s="486">
        <v>1</v>
      </c>
      <c r="O9" s="489">
        <v>248366074.95217401</v>
      </c>
      <c r="P9" s="490">
        <f t="shared" si="0"/>
        <v>68.990576375603894</v>
      </c>
      <c r="Q9" s="488">
        <v>18828.978227570598</v>
      </c>
      <c r="S9" s="486">
        <v>93.338272348867307</v>
      </c>
      <c r="T9" s="486">
        <v>149.473661440684</v>
      </c>
    </row>
    <row r="10" spans="2:20" x14ac:dyDescent="0.3">
      <c r="B10" s="486">
        <v>8</v>
      </c>
      <c r="C10" s="486" t="s">
        <v>879</v>
      </c>
      <c r="E10" s="486" t="s">
        <v>880</v>
      </c>
      <c r="F10" s="488">
        <v>-87.391500579819294</v>
      </c>
      <c r="H10" s="488">
        <v>-82.1809303</v>
      </c>
      <c r="I10" s="486" t="b">
        <v>0</v>
      </c>
      <c r="J10" s="486" t="s">
        <v>881</v>
      </c>
      <c r="K10" s="488">
        <v>-60</v>
      </c>
      <c r="M10" s="488">
        <v>-75.406231828833896</v>
      </c>
      <c r="N10" s="486">
        <v>1</v>
      </c>
      <c r="O10" s="489">
        <v>52482156.0346025</v>
      </c>
      <c r="P10" s="490">
        <f t="shared" si="0"/>
        <v>14.578376676278472</v>
      </c>
      <c r="Q10" s="488">
        <v>3627.0798774176701</v>
      </c>
      <c r="S10" s="486">
        <v>22.1809303</v>
      </c>
      <c r="T10" s="486">
        <v>11.9852687509853</v>
      </c>
    </row>
    <row r="11" spans="2:20" x14ac:dyDescent="0.3">
      <c r="B11" s="486">
        <v>9</v>
      </c>
      <c r="C11" s="486" t="s">
        <v>882</v>
      </c>
      <c r="E11" s="486" t="s">
        <v>872</v>
      </c>
      <c r="F11" s="488">
        <v>-154.96704807668399</v>
      </c>
      <c r="H11" s="488">
        <v>-119.473661440684</v>
      </c>
      <c r="I11" s="486">
        <v>1</v>
      </c>
      <c r="J11" s="486" t="s">
        <v>883</v>
      </c>
      <c r="K11" s="488">
        <v>-104.12595326851</v>
      </c>
      <c r="M11" s="488">
        <v>-104.193123216595</v>
      </c>
      <c r="N11" s="486">
        <v>1</v>
      </c>
      <c r="O11" s="489">
        <v>72771687.643806607</v>
      </c>
      <c r="P11" s="490">
        <f t="shared" si="0"/>
        <v>20.214357678835167</v>
      </c>
      <c r="Q11" s="488">
        <v>2547.8667252461</v>
      </c>
      <c r="S11" s="486">
        <v>15.3477081721741</v>
      </c>
      <c r="T11" s="486">
        <v>50.773924860088997</v>
      </c>
    </row>
    <row r="12" spans="2:20" x14ac:dyDescent="0.3">
      <c r="B12" s="486">
        <v>10</v>
      </c>
      <c r="C12" s="486" t="s">
        <v>884</v>
      </c>
      <c r="E12" s="486" t="s">
        <v>885</v>
      </c>
      <c r="F12" s="488">
        <v>-56.348231355268197</v>
      </c>
      <c r="H12" s="488">
        <v>-51.280822899999997</v>
      </c>
      <c r="I12" s="486">
        <v>1</v>
      </c>
      <c r="J12" s="486" t="s">
        <v>886</v>
      </c>
      <c r="K12" s="488">
        <v>20</v>
      </c>
      <c r="M12" s="488">
        <v>-28.5670407777775</v>
      </c>
      <c r="N12" s="486">
        <v>1</v>
      </c>
      <c r="O12" s="489">
        <v>175386497.12285101</v>
      </c>
      <c r="P12" s="490">
        <f t="shared" si="0"/>
        <v>48.718471423014172</v>
      </c>
      <c r="Q12" s="488">
        <v>3506.0192248901699</v>
      </c>
      <c r="S12" s="486">
        <v>71.280822900000004</v>
      </c>
      <c r="T12" s="486">
        <v>27.781190577490701</v>
      </c>
    </row>
    <row r="13" spans="2:20" x14ac:dyDescent="0.3">
      <c r="B13" s="486">
        <v>11</v>
      </c>
      <c r="C13" s="486" t="s">
        <v>887</v>
      </c>
      <c r="E13" s="486" t="s">
        <v>880</v>
      </c>
      <c r="F13" s="488">
        <v>-87.391500579819294</v>
      </c>
      <c r="H13" s="488">
        <v>-82.1809303</v>
      </c>
      <c r="I13" s="486" t="b">
        <v>0</v>
      </c>
      <c r="J13" s="486" t="s">
        <v>888</v>
      </c>
      <c r="K13" s="488">
        <v>-31.127413313612699</v>
      </c>
      <c r="M13" s="488">
        <v>-44.433368986792701</v>
      </c>
      <c r="N13" s="486">
        <v>1</v>
      </c>
      <c r="O13" s="489">
        <v>45654055.863016203</v>
      </c>
      <c r="P13" s="490">
        <f t="shared" si="0"/>
        <v>12.681682184171168</v>
      </c>
      <c r="Q13" s="488">
        <v>1544.74466950953</v>
      </c>
      <c r="S13" s="486">
        <v>51.053516986387301</v>
      </c>
      <c r="T13" s="486">
        <v>42.9581315930266</v>
      </c>
    </row>
    <row r="14" spans="2:20" x14ac:dyDescent="0.3">
      <c r="B14" s="486">
        <v>12</v>
      </c>
      <c r="C14" s="491" t="s">
        <v>889</v>
      </c>
      <c r="D14" s="491"/>
      <c r="E14" s="491" t="s">
        <v>890</v>
      </c>
      <c r="F14" s="492">
        <v>-269.24253056437402</v>
      </c>
      <c r="G14" s="491"/>
      <c r="H14" s="492">
        <v>-269</v>
      </c>
      <c r="I14" s="491" t="b">
        <v>0</v>
      </c>
      <c r="J14" s="491" t="s">
        <v>891</v>
      </c>
      <c r="K14" s="492">
        <v>-140</v>
      </c>
      <c r="L14" s="491"/>
      <c r="M14" s="492">
        <v>-159.13215600000001</v>
      </c>
      <c r="N14" s="491">
        <v>1</v>
      </c>
      <c r="O14" s="493">
        <v>116409735.100402</v>
      </c>
      <c r="P14" s="494">
        <f t="shared" si="0"/>
        <v>32.336037527889445</v>
      </c>
      <c r="Q14" s="492">
        <v>452.97962597271498</v>
      </c>
      <c r="R14" s="491"/>
      <c r="S14" s="491">
        <v>129</v>
      </c>
      <c r="T14" s="491">
        <v>110.110374564374</v>
      </c>
    </row>
    <row r="15" spans="2:20" x14ac:dyDescent="0.3">
      <c r="B15" s="486">
        <v>13</v>
      </c>
      <c r="C15" s="491" t="s">
        <v>892</v>
      </c>
      <c r="D15" s="491"/>
      <c r="E15" s="491" t="s">
        <v>890</v>
      </c>
      <c r="F15" s="492">
        <v>-269.24253056437402</v>
      </c>
      <c r="G15" s="491"/>
      <c r="H15" s="492">
        <v>-269</v>
      </c>
      <c r="I15" s="491" t="b">
        <v>0</v>
      </c>
      <c r="J15" s="491" t="s">
        <v>893</v>
      </c>
      <c r="K15" s="492">
        <v>38.387636965150499</v>
      </c>
      <c r="L15" s="491"/>
      <c r="M15" s="492">
        <v>0.89491272300000402</v>
      </c>
      <c r="N15" s="491">
        <v>1</v>
      </c>
      <c r="O15" s="493">
        <v>323821.28429353499</v>
      </c>
      <c r="P15" s="494">
        <f t="shared" si="0"/>
        <v>8.995035674820416E-2</v>
      </c>
      <c r="Q15" s="492">
        <v>1.0619544203459499</v>
      </c>
      <c r="R15" s="491"/>
      <c r="S15" s="491">
        <v>307.38763696515002</v>
      </c>
      <c r="T15" s="491">
        <v>270.13744328737403</v>
      </c>
    </row>
    <row r="16" spans="2:20" x14ac:dyDescent="0.3">
      <c r="B16" s="486">
        <v>14</v>
      </c>
      <c r="C16" s="491" t="s">
        <v>894</v>
      </c>
      <c r="D16" s="491"/>
      <c r="E16" s="491" t="s">
        <v>890</v>
      </c>
      <c r="F16" s="492">
        <v>-269.24253056437402</v>
      </c>
      <c r="G16" s="491"/>
      <c r="H16" s="492">
        <v>-269</v>
      </c>
      <c r="I16" s="491" t="b">
        <v>0</v>
      </c>
      <c r="J16" s="491" t="s">
        <v>895</v>
      </c>
      <c r="K16" s="492">
        <v>-124.73483866141299</v>
      </c>
      <c r="L16" s="491"/>
      <c r="M16" s="492">
        <v>-124.977037</v>
      </c>
      <c r="N16" s="491">
        <v>1</v>
      </c>
      <c r="O16" s="493">
        <v>18896308.556804899</v>
      </c>
      <c r="P16" s="494">
        <f t="shared" si="0"/>
        <v>5.2489745991124721</v>
      </c>
      <c r="Q16" s="492">
        <v>67.1312859577083</v>
      </c>
      <c r="R16" s="491"/>
      <c r="S16" s="491">
        <v>144.26516133858701</v>
      </c>
      <c r="T16" s="491">
        <v>144.265493564374</v>
      </c>
    </row>
    <row r="17" spans="1:26" x14ac:dyDescent="0.3">
      <c r="B17" s="486">
        <v>15</v>
      </c>
      <c r="C17" s="495" t="s">
        <v>896</v>
      </c>
      <c r="D17" s="495"/>
      <c r="E17" s="495" t="s">
        <v>897</v>
      </c>
      <c r="F17" s="496">
        <v>250.52966608394701</v>
      </c>
      <c r="G17" s="495"/>
      <c r="H17" s="496">
        <v>251.234433</v>
      </c>
      <c r="I17" s="495">
        <v>1</v>
      </c>
      <c r="J17" s="495" t="s">
        <v>898</v>
      </c>
      <c r="K17" s="496">
        <v>2000</v>
      </c>
      <c r="L17" s="495"/>
      <c r="M17" s="496">
        <v>830</v>
      </c>
      <c r="N17" s="495" t="b">
        <v>0</v>
      </c>
      <c r="O17" s="497">
        <v>18534904.802820198</v>
      </c>
      <c r="P17" s="494">
        <f t="shared" si="0"/>
        <v>5.1485846674500548</v>
      </c>
      <c r="Q17" s="496">
        <v>44.847470115469399</v>
      </c>
      <c r="R17" s="495"/>
      <c r="S17" s="495">
        <v>1748.7655669999999</v>
      </c>
      <c r="T17" s="495">
        <v>579.47033391605305</v>
      </c>
    </row>
    <row r="18" spans="1:26" x14ac:dyDescent="0.3">
      <c r="B18" s="486">
        <v>16</v>
      </c>
      <c r="C18" s="486" t="s">
        <v>899</v>
      </c>
      <c r="E18" s="486" t="s">
        <v>872</v>
      </c>
      <c r="F18" s="488">
        <v>-167</v>
      </c>
      <c r="H18" s="488">
        <v>-154.96704807668399</v>
      </c>
      <c r="I18" s="486">
        <v>1</v>
      </c>
      <c r="J18" s="486" t="s">
        <v>876</v>
      </c>
      <c r="K18" s="488">
        <v>27.1146207730899</v>
      </c>
      <c r="M18" s="488">
        <v>20</v>
      </c>
      <c r="N18" s="486">
        <v>1</v>
      </c>
      <c r="O18" s="489">
        <v>24671024.711638</v>
      </c>
      <c r="P18" s="490">
        <f t="shared" si="0"/>
        <v>6.8530624198994445</v>
      </c>
      <c r="Q18" s="488">
        <v>280.39568731181703</v>
      </c>
      <c r="S18" s="486">
        <v>182.08166884977399</v>
      </c>
      <c r="T18" s="486">
        <v>187</v>
      </c>
    </row>
    <row r="19" spans="1:26" x14ac:dyDescent="0.3">
      <c r="B19" s="486">
        <v>17</v>
      </c>
      <c r="C19" s="491" t="s">
        <v>900</v>
      </c>
      <c r="D19" s="491"/>
      <c r="E19" s="491" t="s">
        <v>890</v>
      </c>
      <c r="F19" s="492">
        <v>-270</v>
      </c>
      <c r="G19" s="491"/>
      <c r="H19" s="492">
        <v>-269.24253056437402</v>
      </c>
      <c r="I19" s="491" t="b">
        <v>0</v>
      </c>
      <c r="J19" s="491" t="s">
        <v>901</v>
      </c>
      <c r="K19" s="492">
        <v>-159.13215600000001</v>
      </c>
      <c r="L19" s="491"/>
      <c r="M19" s="492">
        <v>-167</v>
      </c>
      <c r="N19" s="491">
        <v>1</v>
      </c>
      <c r="O19" s="493">
        <v>37516725.413856</v>
      </c>
      <c r="P19" s="494">
        <f t="shared" si="0"/>
        <v>10.42131261496</v>
      </c>
      <c r="Q19" s="492">
        <v>564.50129293723103</v>
      </c>
      <c r="R19" s="491"/>
      <c r="S19" s="491">
        <v>110.110374564374</v>
      </c>
      <c r="T19" s="491">
        <v>103</v>
      </c>
    </row>
    <row r="20" spans="1:26" x14ac:dyDescent="0.3">
      <c r="B20" s="486">
        <v>18</v>
      </c>
      <c r="C20" s="491" t="s">
        <v>902</v>
      </c>
      <c r="D20" s="491"/>
      <c r="E20" s="491" t="s">
        <v>890</v>
      </c>
      <c r="F20" s="492">
        <v>-270</v>
      </c>
      <c r="G20" s="491"/>
      <c r="H20" s="492">
        <v>-269.24253056437402</v>
      </c>
      <c r="I20" s="491" t="b">
        <v>0</v>
      </c>
      <c r="J20" s="491" t="s">
        <v>903</v>
      </c>
      <c r="K20" s="492">
        <v>-103.315602</v>
      </c>
      <c r="L20" s="491"/>
      <c r="M20" s="492">
        <v>-140</v>
      </c>
      <c r="N20" s="491">
        <v>1</v>
      </c>
      <c r="O20" s="493">
        <v>283465028.52252001</v>
      </c>
      <c r="P20" s="494">
        <f t="shared" si="0"/>
        <v>78.740285700699999</v>
      </c>
      <c r="Q20" s="492">
        <v>3086.0352733077402</v>
      </c>
      <c r="R20" s="491"/>
      <c r="S20" s="491">
        <v>165.92692856437401</v>
      </c>
      <c r="T20" s="491">
        <v>130</v>
      </c>
    </row>
    <row r="21" spans="1:26" x14ac:dyDescent="0.3">
      <c r="B21" s="486">
        <v>19</v>
      </c>
      <c r="C21" s="491" t="s">
        <v>904</v>
      </c>
      <c r="D21" s="491"/>
      <c r="E21" s="491" t="s">
        <v>890</v>
      </c>
      <c r="F21" s="492">
        <v>-270</v>
      </c>
      <c r="G21" s="491"/>
      <c r="H21" s="492">
        <v>-269.24253056437402</v>
      </c>
      <c r="I21" s="491" t="b">
        <v>0</v>
      </c>
      <c r="J21" s="491" t="s">
        <v>881</v>
      </c>
      <c r="K21" s="492">
        <v>-75.406231828833896</v>
      </c>
      <c r="L21" s="491"/>
      <c r="M21" s="492">
        <v>-103.315602</v>
      </c>
      <c r="N21" s="491">
        <v>1</v>
      </c>
      <c r="O21" s="493">
        <v>102616308.91684701</v>
      </c>
      <c r="P21" s="494">
        <f t="shared" si="0"/>
        <v>28.504530254679725</v>
      </c>
      <c r="Q21" s="492">
        <v>628.58754624023697</v>
      </c>
      <c r="R21" s="491"/>
      <c r="S21" s="491">
        <v>193.83629873554</v>
      </c>
      <c r="T21" s="491">
        <v>166.68439799999999</v>
      </c>
    </row>
    <row r="22" spans="1:26" x14ac:dyDescent="0.3">
      <c r="B22" s="486">
        <v>20</v>
      </c>
      <c r="C22" s="495" t="s">
        <v>905</v>
      </c>
      <c r="D22" s="495"/>
      <c r="E22" s="495" t="s">
        <v>906</v>
      </c>
      <c r="F22" s="496">
        <v>34.865663859087299</v>
      </c>
      <c r="G22" s="495"/>
      <c r="H22" s="496">
        <v>35</v>
      </c>
      <c r="I22" s="495">
        <v>1</v>
      </c>
      <c r="J22" s="495" t="s">
        <v>187</v>
      </c>
      <c r="K22" s="496">
        <v>125</v>
      </c>
      <c r="L22" s="495"/>
      <c r="M22" s="496">
        <v>124.050668371249</v>
      </c>
      <c r="N22" s="495" t="b">
        <v>0</v>
      </c>
      <c r="O22" s="497">
        <v>467559.64670439798</v>
      </c>
      <c r="P22" s="498">
        <f t="shared" si="0"/>
        <v>0.12987767964011054</v>
      </c>
      <c r="Q22" s="496">
        <v>7.4899245536767101</v>
      </c>
      <c r="R22" s="495"/>
      <c r="S22" s="495">
        <v>90</v>
      </c>
      <c r="T22" s="495">
        <v>89.185004512161996</v>
      </c>
    </row>
    <row r="23" spans="1:26" x14ac:dyDescent="0.3">
      <c r="B23" s="486">
        <v>21</v>
      </c>
      <c r="C23" s="486" t="s">
        <v>907</v>
      </c>
      <c r="E23" s="486" t="s">
        <v>880</v>
      </c>
      <c r="F23" s="488">
        <v>-88.318584536369499</v>
      </c>
      <c r="H23" s="488">
        <v>-87.391500579819294</v>
      </c>
      <c r="I23" s="486" t="b">
        <v>0</v>
      </c>
      <c r="J23" s="486" t="s">
        <v>886</v>
      </c>
      <c r="K23" s="488">
        <v>-28.5670407777775</v>
      </c>
      <c r="M23" s="488">
        <v>-31.141817199999998</v>
      </c>
      <c r="N23" s="486">
        <v>1</v>
      </c>
      <c r="O23" s="489">
        <v>9298096.2054976299</v>
      </c>
      <c r="P23" s="490">
        <f t="shared" si="0"/>
        <v>2.5828045015271193</v>
      </c>
      <c r="Q23" s="488">
        <v>135.925467114605</v>
      </c>
      <c r="S23" s="486">
        <v>58.824459802041702</v>
      </c>
      <c r="T23" s="486">
        <v>57.176767336369601</v>
      </c>
    </row>
    <row r="24" spans="1:26" x14ac:dyDescent="0.3">
      <c r="B24" s="486">
        <v>22</v>
      </c>
      <c r="C24" s="486" t="s">
        <v>908</v>
      </c>
      <c r="E24" s="486" t="s">
        <v>867</v>
      </c>
      <c r="F24" s="488">
        <v>-169.27893900000001</v>
      </c>
      <c r="H24" s="488">
        <v>-152.581270659719</v>
      </c>
      <c r="I24" s="486">
        <v>1</v>
      </c>
      <c r="J24" s="486" t="s">
        <v>883</v>
      </c>
      <c r="K24" s="488">
        <v>-104.193123216595</v>
      </c>
      <c r="M24" s="488">
        <v>-106.017233</v>
      </c>
      <c r="N24" s="486">
        <v>1</v>
      </c>
      <c r="O24" s="489">
        <v>103159142.90264</v>
      </c>
      <c r="P24" s="490">
        <f t="shared" si="0"/>
        <v>28.655317472955556</v>
      </c>
      <c r="Q24" s="488">
        <v>296.12329007772797</v>
      </c>
      <c r="S24" s="486">
        <v>48.388147443124097</v>
      </c>
      <c r="T24" s="486">
        <v>63.261705999999997</v>
      </c>
    </row>
    <row r="25" spans="1:26" x14ac:dyDescent="0.3">
      <c r="B25" s="486">
        <v>23</v>
      </c>
      <c r="C25" s="486" t="s">
        <v>909</v>
      </c>
      <c r="E25" s="486" t="s">
        <v>880</v>
      </c>
      <c r="F25" s="488">
        <v>-88.318584536369499</v>
      </c>
      <c r="H25" s="488">
        <v>-87.391500579819294</v>
      </c>
      <c r="I25" s="486" t="b">
        <v>0</v>
      </c>
      <c r="J25" s="486" t="s">
        <v>888</v>
      </c>
      <c r="K25" s="488">
        <v>-44.433368986792701</v>
      </c>
      <c r="M25" s="488">
        <v>-60</v>
      </c>
      <c r="N25" s="486">
        <v>1</v>
      </c>
      <c r="O25" s="489">
        <v>53410657.5530238</v>
      </c>
      <c r="P25" s="490">
        <f t="shared" si="0"/>
        <v>14.836293764728833</v>
      </c>
      <c r="Q25" s="488">
        <v>2179.8081586858202</v>
      </c>
      <c r="S25" s="486">
        <v>42.9581315930266</v>
      </c>
      <c r="T25" s="486">
        <v>28.318584536369499</v>
      </c>
    </row>
    <row r="26" spans="1:26" x14ac:dyDescent="0.3">
      <c r="B26" s="486">
        <v>24</v>
      </c>
      <c r="C26" s="495" t="s">
        <v>910</v>
      </c>
      <c r="D26" s="495"/>
      <c r="E26" s="495" t="s">
        <v>906</v>
      </c>
      <c r="F26" s="496">
        <v>34.858493979507003</v>
      </c>
      <c r="G26" s="495"/>
      <c r="H26" s="496">
        <v>34.865663859087299</v>
      </c>
      <c r="I26" s="495">
        <v>1</v>
      </c>
      <c r="J26" s="495" t="s">
        <v>187</v>
      </c>
      <c r="K26" s="496">
        <v>124.050668371249</v>
      </c>
      <c r="L26" s="495"/>
      <c r="M26" s="496">
        <v>124</v>
      </c>
      <c r="N26" s="495" t="b">
        <v>0</v>
      </c>
      <c r="O26" s="497">
        <v>24954.910426402101</v>
      </c>
      <c r="P26" s="498">
        <f t="shared" si="0"/>
        <v>6.9319195628894728E-3</v>
      </c>
      <c r="Q26" s="496">
        <v>0.40167800757767103</v>
      </c>
      <c r="R26" s="495"/>
      <c r="S26" s="495">
        <v>89.185004512161996</v>
      </c>
      <c r="T26" s="495">
        <v>89.141506020492997</v>
      </c>
    </row>
    <row r="29" spans="1:26" x14ac:dyDescent="0.3">
      <c r="A29" s="499" t="s">
        <v>911</v>
      </c>
      <c r="C29" s="487" t="s">
        <v>856</v>
      </c>
      <c r="D29" s="487"/>
      <c r="E29" s="487" t="s">
        <v>857</v>
      </c>
      <c r="F29" s="487" t="s">
        <v>858</v>
      </c>
      <c r="G29" s="487"/>
      <c r="H29" s="487" t="s">
        <v>859</v>
      </c>
      <c r="I29" s="487"/>
      <c r="J29" s="487" t="s">
        <v>860</v>
      </c>
      <c r="K29" s="487" t="s">
        <v>861</v>
      </c>
      <c r="L29" s="487"/>
      <c r="M29" s="487" t="s">
        <v>862</v>
      </c>
      <c r="N29" s="487"/>
      <c r="O29" s="487" t="s">
        <v>863</v>
      </c>
      <c r="P29" s="487" t="s">
        <v>864</v>
      </c>
      <c r="Q29" s="487" t="s">
        <v>865</v>
      </c>
      <c r="W29" s="486" t="s">
        <v>911</v>
      </c>
      <c r="Y29" s="486" t="s">
        <v>912</v>
      </c>
    </row>
    <row r="30" spans="1:26" x14ac:dyDescent="0.3">
      <c r="A30" s="486" t="s">
        <v>913</v>
      </c>
      <c r="B30" s="486">
        <v>1</v>
      </c>
      <c r="C30" s="486" t="str">
        <f t="shared" ref="C30:Q30" si="1">C4</f>
        <v>E-111</v>
      </c>
      <c r="D30" s="486">
        <f t="shared" si="1"/>
        <v>0</v>
      </c>
      <c r="E30" s="486" t="str">
        <f t="shared" si="1"/>
        <v>3_To_4</v>
      </c>
      <c r="F30" s="486">
        <f t="shared" si="1"/>
        <v>33.115670399999999</v>
      </c>
      <c r="G30" s="486">
        <f t="shared" si="1"/>
        <v>0</v>
      </c>
      <c r="H30" s="486">
        <f t="shared" si="1"/>
        <v>708.070381</v>
      </c>
      <c r="I30" s="486">
        <f t="shared" si="1"/>
        <v>1</v>
      </c>
      <c r="J30" s="486" t="str">
        <f t="shared" si="1"/>
        <v>5_To_10</v>
      </c>
      <c r="K30" s="486">
        <f t="shared" si="1"/>
        <v>1230</v>
      </c>
      <c r="L30" s="486">
        <f t="shared" si="1"/>
        <v>0</v>
      </c>
      <c r="M30" s="486">
        <f t="shared" si="1"/>
        <v>697.77413053579801</v>
      </c>
      <c r="N30" s="486" t="b">
        <f t="shared" si="1"/>
        <v>0</v>
      </c>
      <c r="O30" s="488">
        <f t="shared" si="1"/>
        <v>2715390748.7486601</v>
      </c>
      <c r="P30" s="500">
        <f t="shared" si="1"/>
        <v>754.27520798573892</v>
      </c>
      <c r="Q30" s="488">
        <f t="shared" si="1"/>
        <v>231868.91329458001</v>
      </c>
      <c r="R30" s="488"/>
      <c r="S30" s="488">
        <f>S4</f>
        <v>521.929619</v>
      </c>
      <c r="T30" s="488">
        <f>T4</f>
        <v>664.65846013579801</v>
      </c>
      <c r="W30" s="486" t="s">
        <v>914</v>
      </c>
      <c r="X30" s="486" t="s">
        <v>915</v>
      </c>
      <c r="Y30" s="486" t="s">
        <v>914</v>
      </c>
      <c r="Z30" s="486" t="s">
        <v>915</v>
      </c>
    </row>
    <row r="31" spans="1:26" x14ac:dyDescent="0.3">
      <c r="O31" s="488"/>
      <c r="P31" s="500"/>
      <c r="Q31" s="488"/>
      <c r="R31" s="488"/>
      <c r="S31" s="488"/>
      <c r="T31" s="488"/>
      <c r="V31" s="486" t="s">
        <v>850</v>
      </c>
      <c r="W31" s="488">
        <f>P30</f>
        <v>754.27520798573892</v>
      </c>
      <c r="X31" s="486">
        <v>0</v>
      </c>
      <c r="Y31" s="488">
        <f>SUM(P53:P58)</f>
        <v>1549.9703906590319</v>
      </c>
      <c r="Z31" s="488">
        <f>P57</f>
        <v>664.4372318062417</v>
      </c>
    </row>
    <row r="32" spans="1:26" x14ac:dyDescent="0.3">
      <c r="A32" s="486" t="s">
        <v>916</v>
      </c>
      <c r="B32" s="486">
        <v>2</v>
      </c>
      <c r="C32" s="495" t="str">
        <f t="shared" ref="C32:Q32" si="2">C17</f>
        <v>E-124</v>
      </c>
      <c r="D32" s="495">
        <f t="shared" si="2"/>
        <v>0</v>
      </c>
      <c r="E32" s="495" t="str">
        <f t="shared" si="2"/>
        <v>To Reboiler@T1_TO_20-BEN</v>
      </c>
      <c r="F32" s="495">
        <f t="shared" si="2"/>
        <v>250.52966608394701</v>
      </c>
      <c r="G32" s="495">
        <f t="shared" si="2"/>
        <v>0</v>
      </c>
      <c r="H32" s="495">
        <f t="shared" si="2"/>
        <v>251.234433</v>
      </c>
      <c r="I32" s="495">
        <f t="shared" si="2"/>
        <v>1</v>
      </c>
      <c r="J32" s="495" t="str">
        <f t="shared" si="2"/>
        <v>FIRED</v>
      </c>
      <c r="K32" s="495">
        <f t="shared" si="2"/>
        <v>2000</v>
      </c>
      <c r="L32" s="495">
        <f t="shared" si="2"/>
        <v>0</v>
      </c>
      <c r="M32" s="495">
        <f t="shared" si="2"/>
        <v>830</v>
      </c>
      <c r="N32" s="495" t="b">
        <f t="shared" si="2"/>
        <v>0</v>
      </c>
      <c r="O32" s="496">
        <f t="shared" si="2"/>
        <v>18534904.802820198</v>
      </c>
      <c r="P32" s="501">
        <f t="shared" si="2"/>
        <v>5.1485846674500548</v>
      </c>
      <c r="Q32" s="496">
        <f t="shared" si="2"/>
        <v>44.847470115469399</v>
      </c>
      <c r="R32" s="496"/>
      <c r="S32" s="496">
        <f>S17</f>
        <v>1748.7655669999999</v>
      </c>
      <c r="T32" s="496">
        <f>T17</f>
        <v>579.47033391605305</v>
      </c>
      <c r="V32" s="486" t="s">
        <v>917</v>
      </c>
      <c r="W32" s="488">
        <f>SUM(P32:P35)</f>
        <v>20.121688031381886</v>
      </c>
      <c r="X32" s="488">
        <f>P32+P34+P35</f>
        <v>5.2853942666530553</v>
      </c>
      <c r="Y32" s="488">
        <f>SUM(P60:P68)</f>
        <v>113.18510102160603</v>
      </c>
      <c r="Z32" s="488">
        <f>P64+P65</f>
        <v>5.3389249558606764</v>
      </c>
    </row>
    <row r="33" spans="1:26" x14ac:dyDescent="0.3">
      <c r="B33" s="486">
        <v>3</v>
      </c>
      <c r="C33" s="486" t="str">
        <f t="shared" ref="C33:Q33" si="3">C25</f>
        <v>E-132</v>
      </c>
      <c r="D33" s="486">
        <f t="shared" si="3"/>
        <v>0</v>
      </c>
      <c r="E33" s="486" t="str">
        <f t="shared" si="3"/>
        <v>To Reboiler@T3_TO_28-C2C5</v>
      </c>
      <c r="F33" s="486">
        <f t="shared" si="3"/>
        <v>-88.318584536369499</v>
      </c>
      <c r="G33" s="486">
        <f t="shared" si="3"/>
        <v>0</v>
      </c>
      <c r="H33" s="486">
        <f t="shared" si="3"/>
        <v>-87.391500579819294</v>
      </c>
      <c r="I33" s="486" t="b">
        <f t="shared" si="3"/>
        <v>0</v>
      </c>
      <c r="J33" s="486" t="str">
        <f t="shared" si="3"/>
        <v>V3_heat</v>
      </c>
      <c r="K33" s="486">
        <f t="shared" si="3"/>
        <v>-44.433368986792701</v>
      </c>
      <c r="L33" s="486">
        <f t="shared" si="3"/>
        <v>0</v>
      </c>
      <c r="M33" s="486">
        <f t="shared" si="3"/>
        <v>-60</v>
      </c>
      <c r="N33" s="486">
        <f t="shared" si="3"/>
        <v>1</v>
      </c>
      <c r="O33" s="488">
        <f t="shared" si="3"/>
        <v>53410657.5530238</v>
      </c>
      <c r="P33" s="500">
        <f t="shared" si="3"/>
        <v>14.836293764728833</v>
      </c>
      <c r="Q33" s="488">
        <f t="shared" si="3"/>
        <v>2179.8081586858202</v>
      </c>
      <c r="R33" s="488"/>
      <c r="S33" s="488">
        <f>S25</f>
        <v>42.9581315930266</v>
      </c>
      <c r="T33" s="488">
        <f>T25</f>
        <v>28.318584536369499</v>
      </c>
      <c r="V33" s="486" t="s">
        <v>918</v>
      </c>
      <c r="W33" s="488">
        <f>SUM(P37:P49)</f>
        <v>287.97380208458731</v>
      </c>
      <c r="X33" s="486">
        <v>0</v>
      </c>
      <c r="Y33" s="488">
        <f>SUM(P70:P75)</f>
        <v>197.36731099534015</v>
      </c>
      <c r="Z33" s="488">
        <f>SUM(P71:P74)</f>
        <v>148.49763584354946</v>
      </c>
    </row>
    <row r="34" spans="1:26" x14ac:dyDescent="0.3">
      <c r="B34" s="486">
        <v>4</v>
      </c>
      <c r="C34" s="495" t="str">
        <f t="shared" ref="C34:Q34" si="4">C26</f>
        <v>E-133</v>
      </c>
      <c r="D34" s="495">
        <f t="shared" si="4"/>
        <v>0</v>
      </c>
      <c r="E34" s="495" t="str">
        <f t="shared" si="4"/>
        <v>V1_heat</v>
      </c>
      <c r="F34" s="495">
        <f t="shared" si="4"/>
        <v>34.858493979507003</v>
      </c>
      <c r="G34" s="495">
        <f t="shared" si="4"/>
        <v>0</v>
      </c>
      <c r="H34" s="495">
        <f t="shared" si="4"/>
        <v>34.865663859087299</v>
      </c>
      <c r="I34" s="495">
        <f t="shared" si="4"/>
        <v>1</v>
      </c>
      <c r="J34" s="495" t="str">
        <f t="shared" si="4"/>
        <v>LPS</v>
      </c>
      <c r="K34" s="495">
        <f t="shared" si="4"/>
        <v>124.050668371249</v>
      </c>
      <c r="L34" s="495">
        <f t="shared" si="4"/>
        <v>0</v>
      </c>
      <c r="M34" s="495">
        <f t="shared" si="4"/>
        <v>124</v>
      </c>
      <c r="N34" s="495" t="b">
        <f t="shared" si="4"/>
        <v>0</v>
      </c>
      <c r="O34" s="496">
        <f t="shared" si="4"/>
        <v>24954.910426402101</v>
      </c>
      <c r="P34" s="501">
        <f t="shared" si="4"/>
        <v>6.9319195628894728E-3</v>
      </c>
      <c r="Q34" s="496">
        <f t="shared" si="4"/>
        <v>0.40167800757767103</v>
      </c>
      <c r="R34" s="496"/>
      <c r="S34" s="496">
        <f>S26</f>
        <v>89.185004512161996</v>
      </c>
      <c r="T34" s="496">
        <f>T26</f>
        <v>89.141506020492997</v>
      </c>
      <c r="V34" s="486" t="s">
        <v>919</v>
      </c>
      <c r="W34" s="488">
        <f>SUM(W31:W33)</f>
        <v>1062.3706981017081</v>
      </c>
      <c r="X34" s="488">
        <f>SUM(X31:X33)</f>
        <v>5.2853942666530553</v>
      </c>
      <c r="Y34" s="488">
        <f>SUM(Y31:Y33)</f>
        <v>1860.522802675978</v>
      </c>
      <c r="Z34" s="488">
        <f>SUM(Z31:Z33)</f>
        <v>818.27379260565181</v>
      </c>
    </row>
    <row r="35" spans="1:26" x14ac:dyDescent="0.3">
      <c r="B35" s="486">
        <v>5</v>
      </c>
      <c r="C35" s="495" t="str">
        <f t="shared" ref="C35:Q35" si="5">C22</f>
        <v>E-129</v>
      </c>
      <c r="D35" s="495">
        <f t="shared" si="5"/>
        <v>0</v>
      </c>
      <c r="E35" s="495" t="str">
        <f t="shared" si="5"/>
        <v>V1_heat</v>
      </c>
      <c r="F35" s="495">
        <f t="shared" si="5"/>
        <v>34.865663859087299</v>
      </c>
      <c r="G35" s="495">
        <f t="shared" si="5"/>
        <v>0</v>
      </c>
      <c r="H35" s="495">
        <f t="shared" si="5"/>
        <v>35</v>
      </c>
      <c r="I35" s="495">
        <f t="shared" si="5"/>
        <v>1</v>
      </c>
      <c r="J35" s="495" t="str">
        <f t="shared" si="5"/>
        <v>LPS</v>
      </c>
      <c r="K35" s="495">
        <f t="shared" si="5"/>
        <v>125</v>
      </c>
      <c r="L35" s="495">
        <f t="shared" si="5"/>
        <v>0</v>
      </c>
      <c r="M35" s="495">
        <f t="shared" si="5"/>
        <v>124.050668371249</v>
      </c>
      <c r="N35" s="495" t="b">
        <f t="shared" si="5"/>
        <v>0</v>
      </c>
      <c r="O35" s="496">
        <f t="shared" si="5"/>
        <v>467559.64670439798</v>
      </c>
      <c r="P35" s="501">
        <f t="shared" si="5"/>
        <v>0.12987767964011054</v>
      </c>
      <c r="Q35" s="496">
        <f t="shared" si="5"/>
        <v>7.4899245536767101</v>
      </c>
      <c r="R35" s="496"/>
      <c r="S35" s="496">
        <f>S22</f>
        <v>90</v>
      </c>
      <c r="T35" s="496">
        <f>T22</f>
        <v>89.185004512161996</v>
      </c>
    </row>
    <row r="36" spans="1:26" x14ac:dyDescent="0.3">
      <c r="O36" s="488"/>
      <c r="P36" s="500"/>
      <c r="Q36" s="488"/>
      <c r="R36" s="488"/>
      <c r="S36" s="488"/>
      <c r="T36" s="488"/>
    </row>
    <row r="37" spans="1:26" x14ac:dyDescent="0.3">
      <c r="A37" s="486" t="s">
        <v>920</v>
      </c>
      <c r="B37" s="486">
        <v>6</v>
      </c>
      <c r="C37" s="486" t="str">
        <f t="shared" ref="C37:Q37" si="6">C3</f>
        <v>E-110</v>
      </c>
      <c r="D37" s="486">
        <f t="shared" si="6"/>
        <v>0</v>
      </c>
      <c r="E37" s="486" t="str">
        <f t="shared" si="6"/>
        <v>39_To_42</v>
      </c>
      <c r="F37" s="486">
        <f t="shared" si="6"/>
        <v>-152.581270659719</v>
      </c>
      <c r="G37" s="486">
        <f t="shared" si="6"/>
        <v>0</v>
      </c>
      <c r="H37" s="486">
        <f t="shared" si="6"/>
        <v>35</v>
      </c>
      <c r="I37" s="486">
        <f t="shared" si="6"/>
        <v>1</v>
      </c>
      <c r="J37" s="486" t="str">
        <f t="shared" si="6"/>
        <v>5_To_10</v>
      </c>
      <c r="K37" s="486">
        <f t="shared" si="6"/>
        <v>1230</v>
      </c>
      <c r="L37" s="486">
        <f t="shared" si="6"/>
        <v>0</v>
      </c>
      <c r="M37" s="486">
        <f t="shared" si="6"/>
        <v>697.77413053579801</v>
      </c>
      <c r="N37" s="486" t="b">
        <f t="shared" si="6"/>
        <v>0</v>
      </c>
      <c r="O37" s="488">
        <f t="shared" si="6"/>
        <v>77245001.582805306</v>
      </c>
      <c r="P37" s="500">
        <f t="shared" si="6"/>
        <v>21.456944884112584</v>
      </c>
      <c r="Q37" s="488">
        <f t="shared" si="6"/>
        <v>2209.5049738268599</v>
      </c>
      <c r="R37" s="488"/>
      <c r="S37" s="488">
        <f>S3</f>
        <v>1195</v>
      </c>
      <c r="T37" s="488">
        <f>T3</f>
        <v>850.35540119551695</v>
      </c>
    </row>
    <row r="38" spans="1:26" x14ac:dyDescent="0.3">
      <c r="B38" s="486">
        <v>7</v>
      </c>
      <c r="C38" s="486" t="str">
        <f t="shared" ref="C38:Q38" si="7">C5</f>
        <v>E-112</v>
      </c>
      <c r="D38" s="486">
        <f t="shared" si="7"/>
        <v>0</v>
      </c>
      <c r="E38" s="486" t="str">
        <f t="shared" si="7"/>
        <v>31_To_35</v>
      </c>
      <c r="F38" s="486">
        <f t="shared" si="7"/>
        <v>15</v>
      </c>
      <c r="G38" s="486">
        <f t="shared" si="7"/>
        <v>0</v>
      </c>
      <c r="H38" s="486">
        <f t="shared" si="7"/>
        <v>35</v>
      </c>
      <c r="I38" s="486">
        <f t="shared" si="7"/>
        <v>1</v>
      </c>
      <c r="J38" s="486" t="str">
        <f t="shared" si="7"/>
        <v>5_To_10</v>
      </c>
      <c r="K38" s="486">
        <f t="shared" si="7"/>
        <v>697.77413053579801</v>
      </c>
      <c r="L38" s="486">
        <f t="shared" si="7"/>
        <v>0</v>
      </c>
      <c r="M38" s="486">
        <f t="shared" si="7"/>
        <v>666.15607037386405</v>
      </c>
      <c r="N38" s="486" t="b">
        <f t="shared" si="7"/>
        <v>0</v>
      </c>
      <c r="O38" s="488">
        <f t="shared" si="7"/>
        <v>41005772.928975001</v>
      </c>
      <c r="P38" s="500">
        <f t="shared" si="7"/>
        <v>11.390492480270833</v>
      </c>
      <c r="Q38" s="488">
        <f t="shared" si="7"/>
        <v>524.36286141868902</v>
      </c>
      <c r="R38" s="488"/>
      <c r="S38" s="488">
        <f t="shared" ref="S38:T40" si="8">S5</f>
        <v>662.77413053579801</v>
      </c>
      <c r="T38" s="488">
        <f t="shared" si="8"/>
        <v>651.15607037386405</v>
      </c>
    </row>
    <row r="39" spans="1:26" x14ac:dyDescent="0.3">
      <c r="B39" s="486">
        <v>8</v>
      </c>
      <c r="C39" s="486" t="str">
        <f t="shared" ref="C39:Q39" si="9">C6</f>
        <v>E-113</v>
      </c>
      <c r="D39" s="486">
        <f t="shared" si="9"/>
        <v>0</v>
      </c>
      <c r="E39" s="486" t="str">
        <f t="shared" si="9"/>
        <v>45_To_46</v>
      </c>
      <c r="F39" s="486">
        <f t="shared" si="9"/>
        <v>-124.977037</v>
      </c>
      <c r="G39" s="486">
        <f t="shared" si="9"/>
        <v>0</v>
      </c>
      <c r="H39" s="486">
        <f t="shared" si="9"/>
        <v>35</v>
      </c>
      <c r="I39" s="486">
        <f t="shared" si="9"/>
        <v>1</v>
      </c>
      <c r="J39" s="486" t="str">
        <f t="shared" si="9"/>
        <v>5_To_10</v>
      </c>
      <c r="K39" s="486">
        <f t="shared" si="9"/>
        <v>697.77413053579801</v>
      </c>
      <c r="L39" s="486">
        <f t="shared" si="9"/>
        <v>0</v>
      </c>
      <c r="M39" s="486">
        <f t="shared" si="9"/>
        <v>666.15607037386405</v>
      </c>
      <c r="N39" s="486" t="b">
        <f t="shared" si="9"/>
        <v>0</v>
      </c>
      <c r="O39" s="488">
        <f t="shared" si="9"/>
        <v>105911773.65742999</v>
      </c>
      <c r="P39" s="500">
        <f t="shared" si="9"/>
        <v>29.419937127063886</v>
      </c>
      <c r="Q39" s="488">
        <f t="shared" si="9"/>
        <v>1517.8128437673499</v>
      </c>
      <c r="R39" s="488"/>
      <c r="S39" s="488">
        <f t="shared" si="8"/>
        <v>662.77413053579801</v>
      </c>
      <c r="T39" s="488">
        <f t="shared" si="8"/>
        <v>791.13310737386405</v>
      </c>
    </row>
    <row r="40" spans="1:26" x14ac:dyDescent="0.3">
      <c r="B40" s="486">
        <v>9</v>
      </c>
      <c r="C40" s="486" t="str">
        <f t="shared" ref="C40:Q40" si="10">C7</f>
        <v>E-114</v>
      </c>
      <c r="D40" s="486">
        <f t="shared" si="10"/>
        <v>0</v>
      </c>
      <c r="E40" s="486" t="str">
        <f t="shared" si="10"/>
        <v>31_To_35</v>
      </c>
      <c r="F40" s="486">
        <f t="shared" si="10"/>
        <v>1.6634649743511101</v>
      </c>
      <c r="G40" s="486">
        <f t="shared" si="10"/>
        <v>0</v>
      </c>
      <c r="H40" s="486">
        <f t="shared" si="10"/>
        <v>15</v>
      </c>
      <c r="I40" s="486">
        <f t="shared" si="10"/>
        <v>1</v>
      </c>
      <c r="J40" s="486" t="str">
        <f t="shared" si="10"/>
        <v>14_To_15</v>
      </c>
      <c r="K40" s="486">
        <f t="shared" si="10"/>
        <v>35</v>
      </c>
      <c r="L40" s="486">
        <f t="shared" si="10"/>
        <v>0</v>
      </c>
      <c r="M40" s="486">
        <f t="shared" si="10"/>
        <v>27.1146207730899</v>
      </c>
      <c r="N40" s="486">
        <f t="shared" si="10"/>
        <v>1</v>
      </c>
      <c r="O40" s="488">
        <f t="shared" si="10"/>
        <v>27343746.3460541</v>
      </c>
      <c r="P40" s="500">
        <f t="shared" si="10"/>
        <v>7.5954850961261391</v>
      </c>
      <c r="Q40" s="488">
        <f t="shared" si="10"/>
        <v>2627.5200166150298</v>
      </c>
      <c r="R40" s="488"/>
      <c r="S40" s="488">
        <f t="shared" si="8"/>
        <v>20</v>
      </c>
      <c r="T40" s="488">
        <f t="shared" si="8"/>
        <v>25.4511557987388</v>
      </c>
    </row>
    <row r="41" spans="1:26" x14ac:dyDescent="0.3">
      <c r="B41" s="486">
        <v>10</v>
      </c>
      <c r="C41" s="486" t="str">
        <f t="shared" ref="C41:Q41" si="11">C9</f>
        <v>E-116</v>
      </c>
      <c r="D41" s="486">
        <f t="shared" si="11"/>
        <v>0</v>
      </c>
      <c r="E41" s="486" t="str">
        <f t="shared" si="11"/>
        <v>31_To_35</v>
      </c>
      <c r="F41" s="486">
        <f t="shared" si="11"/>
        <v>-119.473661440684</v>
      </c>
      <c r="G41" s="486">
        <f t="shared" si="11"/>
        <v>0</v>
      </c>
      <c r="H41" s="486">
        <f t="shared" si="11"/>
        <v>1.6634649743511101</v>
      </c>
      <c r="I41" s="486">
        <f t="shared" si="11"/>
        <v>1</v>
      </c>
      <c r="J41" s="486" t="str">
        <f t="shared" si="11"/>
        <v>5_To_10</v>
      </c>
      <c r="K41" s="486">
        <f t="shared" si="11"/>
        <v>95.001737323218407</v>
      </c>
      <c r="L41" s="486">
        <f t="shared" si="11"/>
        <v>0</v>
      </c>
      <c r="M41" s="486">
        <f t="shared" si="11"/>
        <v>30</v>
      </c>
      <c r="N41" s="486">
        <f t="shared" si="11"/>
        <v>1</v>
      </c>
      <c r="O41" s="488">
        <f t="shared" si="11"/>
        <v>248366074.95217401</v>
      </c>
      <c r="P41" s="500">
        <f t="shared" si="11"/>
        <v>68.990576375603894</v>
      </c>
      <c r="Q41" s="488">
        <f t="shared" si="11"/>
        <v>18828.978227570598</v>
      </c>
      <c r="R41" s="488"/>
      <c r="S41" s="488">
        <f t="shared" ref="S41:T45" si="12">S9</f>
        <v>93.338272348867307</v>
      </c>
      <c r="T41" s="488">
        <f t="shared" si="12"/>
        <v>149.473661440684</v>
      </c>
    </row>
    <row r="42" spans="1:26" x14ac:dyDescent="0.3">
      <c r="B42" s="486">
        <v>11</v>
      </c>
      <c r="C42" s="486" t="str">
        <f t="shared" ref="C42:Q42" si="13">C10</f>
        <v>E-117</v>
      </c>
      <c r="D42" s="486">
        <f t="shared" si="13"/>
        <v>0</v>
      </c>
      <c r="E42" s="486" t="str">
        <f t="shared" si="13"/>
        <v>To Reboiler@T3_TO_28-C2C5</v>
      </c>
      <c r="F42" s="486">
        <f t="shared" si="13"/>
        <v>-87.391500579819294</v>
      </c>
      <c r="G42" s="486">
        <f t="shared" si="13"/>
        <v>0</v>
      </c>
      <c r="H42" s="486">
        <f t="shared" si="13"/>
        <v>-82.1809303</v>
      </c>
      <c r="I42" s="486" t="b">
        <f t="shared" si="13"/>
        <v>0</v>
      </c>
      <c r="J42" s="486" t="str">
        <f t="shared" si="13"/>
        <v>22_To_24</v>
      </c>
      <c r="K42" s="486">
        <f t="shared" si="13"/>
        <v>-60</v>
      </c>
      <c r="L42" s="486">
        <f t="shared" si="13"/>
        <v>0</v>
      </c>
      <c r="M42" s="486">
        <f t="shared" si="13"/>
        <v>-75.406231828833896</v>
      </c>
      <c r="N42" s="486">
        <f t="shared" si="13"/>
        <v>1</v>
      </c>
      <c r="O42" s="488">
        <f t="shared" si="13"/>
        <v>52482156.0346025</v>
      </c>
      <c r="P42" s="500">
        <f t="shared" si="13"/>
        <v>14.578376676278472</v>
      </c>
      <c r="Q42" s="488">
        <f t="shared" si="13"/>
        <v>3627.0798774176701</v>
      </c>
      <c r="R42" s="488"/>
      <c r="S42" s="488">
        <f t="shared" si="12"/>
        <v>22.1809303</v>
      </c>
      <c r="T42" s="488">
        <f t="shared" si="12"/>
        <v>11.9852687509853</v>
      </c>
    </row>
    <row r="43" spans="1:26" x14ac:dyDescent="0.3">
      <c r="B43" s="486">
        <v>12</v>
      </c>
      <c r="C43" s="486" t="str">
        <f t="shared" ref="C43:Q43" si="14">C11</f>
        <v>E-118</v>
      </c>
      <c r="D43" s="486">
        <f t="shared" si="14"/>
        <v>0</v>
      </c>
      <c r="E43" s="486" t="str">
        <f t="shared" si="14"/>
        <v>31_To_35</v>
      </c>
      <c r="F43" s="486">
        <f t="shared" si="14"/>
        <v>-154.96704807668399</v>
      </c>
      <c r="G43" s="486">
        <f t="shared" si="14"/>
        <v>0</v>
      </c>
      <c r="H43" s="486">
        <f t="shared" si="14"/>
        <v>-119.473661440684</v>
      </c>
      <c r="I43" s="486">
        <f t="shared" si="14"/>
        <v>1</v>
      </c>
      <c r="J43" s="486" t="str">
        <f t="shared" si="14"/>
        <v>To Condenser@T3_TO_27-ETHYL</v>
      </c>
      <c r="K43" s="486">
        <f t="shared" si="14"/>
        <v>-104.12595326851</v>
      </c>
      <c r="L43" s="486">
        <f t="shared" si="14"/>
        <v>0</v>
      </c>
      <c r="M43" s="486">
        <f t="shared" si="14"/>
        <v>-104.193123216595</v>
      </c>
      <c r="N43" s="486">
        <f t="shared" si="14"/>
        <v>1</v>
      </c>
      <c r="O43" s="488">
        <f t="shared" si="14"/>
        <v>72771687.643806607</v>
      </c>
      <c r="P43" s="500">
        <f t="shared" si="14"/>
        <v>20.214357678835167</v>
      </c>
      <c r="Q43" s="488">
        <f t="shared" si="14"/>
        <v>2547.8667252461</v>
      </c>
      <c r="R43" s="488"/>
      <c r="S43" s="488">
        <f t="shared" si="12"/>
        <v>15.3477081721741</v>
      </c>
      <c r="T43" s="488">
        <f t="shared" si="12"/>
        <v>50.773924860088997</v>
      </c>
    </row>
    <row r="44" spans="1:26" x14ac:dyDescent="0.3">
      <c r="B44" s="486">
        <v>13</v>
      </c>
      <c r="C44" s="486" t="str">
        <f t="shared" ref="C44:Q44" si="15">C12</f>
        <v>E-119</v>
      </c>
      <c r="D44" s="486">
        <f t="shared" si="15"/>
        <v>0</v>
      </c>
      <c r="E44" s="486" t="str">
        <f t="shared" si="15"/>
        <v>To Reboiler@T2_TO_26-C2+</v>
      </c>
      <c r="F44" s="486">
        <f t="shared" si="15"/>
        <v>-56.348231355268197</v>
      </c>
      <c r="G44" s="486">
        <f t="shared" si="15"/>
        <v>0</v>
      </c>
      <c r="H44" s="486">
        <f t="shared" si="15"/>
        <v>-51.280822899999997</v>
      </c>
      <c r="I44" s="486">
        <f t="shared" si="15"/>
        <v>1</v>
      </c>
      <c r="J44" s="486" t="str">
        <f t="shared" si="15"/>
        <v>17_To_18</v>
      </c>
      <c r="K44" s="486">
        <f t="shared" si="15"/>
        <v>20</v>
      </c>
      <c r="L44" s="486">
        <f t="shared" si="15"/>
        <v>0</v>
      </c>
      <c r="M44" s="486">
        <f t="shared" si="15"/>
        <v>-28.5670407777775</v>
      </c>
      <c r="N44" s="486">
        <f t="shared" si="15"/>
        <v>1</v>
      </c>
      <c r="O44" s="488">
        <f t="shared" si="15"/>
        <v>175386497.12285101</v>
      </c>
      <c r="P44" s="500">
        <f t="shared" si="15"/>
        <v>48.718471423014172</v>
      </c>
      <c r="Q44" s="488">
        <f t="shared" si="15"/>
        <v>3506.0192248901699</v>
      </c>
      <c r="R44" s="488"/>
      <c r="S44" s="488">
        <f t="shared" si="12"/>
        <v>71.280822900000004</v>
      </c>
      <c r="T44" s="488">
        <f t="shared" si="12"/>
        <v>27.781190577490701</v>
      </c>
    </row>
    <row r="45" spans="1:26" x14ac:dyDescent="0.3">
      <c r="B45" s="486">
        <v>14</v>
      </c>
      <c r="C45" s="486" t="str">
        <f t="shared" ref="C45:Q45" si="16">C13</f>
        <v>E-120</v>
      </c>
      <c r="D45" s="486">
        <f t="shared" si="16"/>
        <v>0</v>
      </c>
      <c r="E45" s="486" t="str">
        <f t="shared" si="16"/>
        <v>To Reboiler@T3_TO_28-C2C5</v>
      </c>
      <c r="F45" s="486">
        <f t="shared" si="16"/>
        <v>-87.391500579819294</v>
      </c>
      <c r="G45" s="486">
        <f t="shared" si="16"/>
        <v>0</v>
      </c>
      <c r="H45" s="486">
        <f t="shared" si="16"/>
        <v>-82.1809303</v>
      </c>
      <c r="I45" s="486" t="b">
        <f t="shared" si="16"/>
        <v>0</v>
      </c>
      <c r="J45" s="486" t="str">
        <f t="shared" si="16"/>
        <v>V3_heat</v>
      </c>
      <c r="K45" s="486">
        <f t="shared" si="16"/>
        <v>-31.127413313612699</v>
      </c>
      <c r="L45" s="486">
        <f t="shared" si="16"/>
        <v>0</v>
      </c>
      <c r="M45" s="486">
        <f t="shared" si="16"/>
        <v>-44.433368986792701</v>
      </c>
      <c r="N45" s="486">
        <f t="shared" si="16"/>
        <v>1</v>
      </c>
      <c r="O45" s="488">
        <f t="shared" si="16"/>
        <v>45654055.863016203</v>
      </c>
      <c r="P45" s="500">
        <f t="shared" si="16"/>
        <v>12.681682184171168</v>
      </c>
      <c r="Q45" s="488">
        <f t="shared" si="16"/>
        <v>1544.74466950953</v>
      </c>
      <c r="R45" s="488"/>
      <c r="S45" s="488">
        <f t="shared" si="12"/>
        <v>51.053516986387301</v>
      </c>
      <c r="T45" s="488">
        <f t="shared" si="12"/>
        <v>42.9581315930266</v>
      </c>
    </row>
    <row r="46" spans="1:26" x14ac:dyDescent="0.3">
      <c r="B46" s="486">
        <v>15</v>
      </c>
      <c r="C46" s="486" t="str">
        <f t="shared" ref="C46:Q46" si="17">C18</f>
        <v>E-125</v>
      </c>
      <c r="D46" s="486">
        <f t="shared" si="17"/>
        <v>0</v>
      </c>
      <c r="E46" s="486" t="str">
        <f t="shared" si="17"/>
        <v>31_To_35</v>
      </c>
      <c r="F46" s="486">
        <f t="shared" si="17"/>
        <v>-167</v>
      </c>
      <c r="G46" s="486">
        <f t="shared" si="17"/>
        <v>0</v>
      </c>
      <c r="H46" s="486">
        <f t="shared" si="17"/>
        <v>-154.96704807668399</v>
      </c>
      <c r="I46" s="486">
        <f t="shared" si="17"/>
        <v>1</v>
      </c>
      <c r="J46" s="486" t="str">
        <f t="shared" si="17"/>
        <v>14_To_15</v>
      </c>
      <c r="K46" s="486">
        <f t="shared" si="17"/>
        <v>27.1146207730899</v>
      </c>
      <c r="L46" s="486">
        <f t="shared" si="17"/>
        <v>0</v>
      </c>
      <c r="M46" s="486">
        <f t="shared" si="17"/>
        <v>20</v>
      </c>
      <c r="N46" s="486">
        <f t="shared" si="17"/>
        <v>1</v>
      </c>
      <c r="O46" s="488">
        <f t="shared" si="17"/>
        <v>24671024.711638</v>
      </c>
      <c r="P46" s="500">
        <f t="shared" si="17"/>
        <v>6.8530624198994445</v>
      </c>
      <c r="Q46" s="488">
        <f t="shared" si="17"/>
        <v>280.39568731181703</v>
      </c>
      <c r="R46" s="488"/>
      <c r="S46" s="488">
        <f>S18</f>
        <v>182.08166884977399</v>
      </c>
      <c r="T46" s="488">
        <f>T18</f>
        <v>187</v>
      </c>
    </row>
    <row r="47" spans="1:26" x14ac:dyDescent="0.3">
      <c r="B47" s="486">
        <v>16</v>
      </c>
      <c r="C47" s="486" t="str">
        <f t="shared" ref="C47:Q47" si="18">C23</f>
        <v>E-130</v>
      </c>
      <c r="D47" s="486">
        <f t="shared" si="18"/>
        <v>0</v>
      </c>
      <c r="E47" s="486" t="str">
        <f t="shared" si="18"/>
        <v>To Reboiler@T3_TO_28-C2C5</v>
      </c>
      <c r="F47" s="486">
        <f t="shared" si="18"/>
        <v>-88.318584536369499</v>
      </c>
      <c r="G47" s="486">
        <f t="shared" si="18"/>
        <v>0</v>
      </c>
      <c r="H47" s="486">
        <f t="shared" si="18"/>
        <v>-87.391500579819294</v>
      </c>
      <c r="I47" s="486" t="b">
        <f t="shared" si="18"/>
        <v>0</v>
      </c>
      <c r="J47" s="486" t="str">
        <f t="shared" si="18"/>
        <v>17_To_18</v>
      </c>
      <c r="K47" s="486">
        <f t="shared" si="18"/>
        <v>-28.5670407777775</v>
      </c>
      <c r="L47" s="486">
        <f t="shared" si="18"/>
        <v>0</v>
      </c>
      <c r="M47" s="486">
        <f t="shared" si="18"/>
        <v>-31.141817199999998</v>
      </c>
      <c r="N47" s="486">
        <f t="shared" si="18"/>
        <v>1</v>
      </c>
      <c r="O47" s="488">
        <f t="shared" si="18"/>
        <v>9298096.2054976299</v>
      </c>
      <c r="P47" s="500">
        <f t="shared" si="18"/>
        <v>2.5828045015271193</v>
      </c>
      <c r="Q47" s="488">
        <f t="shared" si="18"/>
        <v>135.925467114605</v>
      </c>
      <c r="R47" s="488"/>
      <c r="S47" s="488">
        <f t="shared" ref="S47:T49" si="19">S23</f>
        <v>58.824459802041702</v>
      </c>
      <c r="T47" s="488">
        <f t="shared" si="19"/>
        <v>57.176767336369601</v>
      </c>
    </row>
    <row r="48" spans="1:26" x14ac:dyDescent="0.3">
      <c r="B48" s="486">
        <v>17</v>
      </c>
      <c r="C48" s="486" t="str">
        <f t="shared" ref="C48:Q48" si="20">C24</f>
        <v>E-131</v>
      </c>
      <c r="D48" s="486">
        <f t="shared" si="20"/>
        <v>0</v>
      </c>
      <c r="E48" s="486" t="str">
        <f t="shared" si="20"/>
        <v>39_To_42</v>
      </c>
      <c r="F48" s="486">
        <f t="shared" si="20"/>
        <v>-169.27893900000001</v>
      </c>
      <c r="G48" s="486">
        <f t="shared" si="20"/>
        <v>0</v>
      </c>
      <c r="H48" s="486">
        <f t="shared" si="20"/>
        <v>-152.581270659719</v>
      </c>
      <c r="I48" s="486">
        <f t="shared" si="20"/>
        <v>1</v>
      </c>
      <c r="J48" s="486" t="str">
        <f t="shared" si="20"/>
        <v>To Condenser@T3_TO_27-ETHYL</v>
      </c>
      <c r="K48" s="486">
        <f t="shared" si="20"/>
        <v>-104.193123216595</v>
      </c>
      <c r="L48" s="486">
        <f t="shared" si="20"/>
        <v>0</v>
      </c>
      <c r="M48" s="486">
        <f t="shared" si="20"/>
        <v>-106.017233</v>
      </c>
      <c r="N48" s="486">
        <f t="shared" si="20"/>
        <v>1</v>
      </c>
      <c r="O48" s="488">
        <f t="shared" si="20"/>
        <v>103159142.90264</v>
      </c>
      <c r="P48" s="500">
        <f t="shared" si="20"/>
        <v>28.655317472955556</v>
      </c>
      <c r="Q48" s="488">
        <f t="shared" si="20"/>
        <v>296.12329007772797</v>
      </c>
      <c r="R48" s="488"/>
      <c r="S48" s="488">
        <f t="shared" si="19"/>
        <v>48.388147443124097</v>
      </c>
      <c r="T48" s="488">
        <f t="shared" si="19"/>
        <v>63.261705999999997</v>
      </c>
    </row>
    <row r="49" spans="1:20" x14ac:dyDescent="0.3">
      <c r="B49" s="486">
        <v>18</v>
      </c>
      <c r="C49" s="486" t="str">
        <f t="shared" ref="C49:Q49" si="21">C25</f>
        <v>E-132</v>
      </c>
      <c r="D49" s="486">
        <f t="shared" si="21"/>
        <v>0</v>
      </c>
      <c r="E49" s="486" t="str">
        <f t="shared" si="21"/>
        <v>To Reboiler@T3_TO_28-C2C5</v>
      </c>
      <c r="F49" s="486">
        <f t="shared" si="21"/>
        <v>-88.318584536369499</v>
      </c>
      <c r="G49" s="486">
        <f t="shared" si="21"/>
        <v>0</v>
      </c>
      <c r="H49" s="486">
        <f t="shared" si="21"/>
        <v>-87.391500579819294</v>
      </c>
      <c r="I49" s="486" t="b">
        <f t="shared" si="21"/>
        <v>0</v>
      </c>
      <c r="J49" s="486" t="str">
        <f t="shared" si="21"/>
        <v>V3_heat</v>
      </c>
      <c r="K49" s="486">
        <f t="shared" si="21"/>
        <v>-44.433368986792701</v>
      </c>
      <c r="L49" s="486">
        <f t="shared" si="21"/>
        <v>0</v>
      </c>
      <c r="M49" s="486">
        <f t="shared" si="21"/>
        <v>-60</v>
      </c>
      <c r="N49" s="486">
        <f t="shared" si="21"/>
        <v>1</v>
      </c>
      <c r="O49" s="488">
        <f t="shared" si="21"/>
        <v>53410657.5530238</v>
      </c>
      <c r="P49" s="500">
        <f t="shared" si="21"/>
        <v>14.836293764728833</v>
      </c>
      <c r="Q49" s="488">
        <f t="shared" si="21"/>
        <v>2179.8081586858202</v>
      </c>
      <c r="R49" s="488"/>
      <c r="S49" s="488">
        <f t="shared" si="19"/>
        <v>42.9581315930266</v>
      </c>
      <c r="T49" s="488">
        <f t="shared" si="19"/>
        <v>28.318584536369499</v>
      </c>
    </row>
    <row r="52" spans="1:20" x14ac:dyDescent="0.3">
      <c r="A52" s="499" t="s">
        <v>912</v>
      </c>
      <c r="C52" s="487" t="s">
        <v>856</v>
      </c>
      <c r="D52" s="487"/>
      <c r="E52" s="487" t="s">
        <v>857</v>
      </c>
      <c r="F52" s="487" t="s">
        <v>858</v>
      </c>
      <c r="G52" s="487"/>
      <c r="H52" s="487" t="s">
        <v>859</v>
      </c>
      <c r="I52" s="487"/>
      <c r="J52" s="487" t="s">
        <v>860</v>
      </c>
      <c r="K52" s="487" t="s">
        <v>861</v>
      </c>
      <c r="L52" s="487"/>
      <c r="M52" s="487" t="s">
        <v>862</v>
      </c>
      <c r="N52" s="487"/>
      <c r="O52" s="487" t="s">
        <v>863</v>
      </c>
      <c r="P52" s="487" t="s">
        <v>864</v>
      </c>
      <c r="Q52" s="487" t="s">
        <v>865</v>
      </c>
    </row>
    <row r="53" spans="1:20" x14ac:dyDescent="0.3">
      <c r="A53" s="486" t="s">
        <v>913</v>
      </c>
      <c r="B53" s="486">
        <v>1</v>
      </c>
      <c r="C53" s="486" t="str">
        <f t="shared" ref="C53:T53" si="22">C3</f>
        <v>E-110</v>
      </c>
      <c r="D53" s="486">
        <f t="shared" si="22"/>
        <v>0</v>
      </c>
      <c r="E53" s="486" t="str">
        <f t="shared" si="22"/>
        <v>39_To_42</v>
      </c>
      <c r="F53" s="486">
        <f t="shared" si="22"/>
        <v>-152.581270659719</v>
      </c>
      <c r="G53" s="486">
        <f t="shared" si="22"/>
        <v>0</v>
      </c>
      <c r="H53" s="486">
        <f t="shared" si="22"/>
        <v>35</v>
      </c>
      <c r="I53" s="486">
        <f t="shared" si="22"/>
        <v>1</v>
      </c>
      <c r="J53" s="486" t="str">
        <f t="shared" si="22"/>
        <v>5_To_10</v>
      </c>
      <c r="K53" s="486">
        <f t="shared" si="22"/>
        <v>1230</v>
      </c>
      <c r="L53" s="486">
        <f t="shared" si="22"/>
        <v>0</v>
      </c>
      <c r="M53" s="486">
        <f t="shared" si="22"/>
        <v>697.77413053579801</v>
      </c>
      <c r="N53" s="486" t="b">
        <f t="shared" si="22"/>
        <v>0</v>
      </c>
      <c r="O53" s="486">
        <f t="shared" si="22"/>
        <v>77245001.582805306</v>
      </c>
      <c r="P53" s="500">
        <f t="shared" si="22"/>
        <v>21.456944884112584</v>
      </c>
      <c r="Q53" s="488">
        <f t="shared" si="22"/>
        <v>2209.5049738268599</v>
      </c>
      <c r="R53" s="486">
        <f t="shared" si="22"/>
        <v>0</v>
      </c>
      <c r="S53" s="486">
        <f t="shared" si="22"/>
        <v>1195</v>
      </c>
      <c r="T53" s="486">
        <f t="shared" si="22"/>
        <v>850.35540119551695</v>
      </c>
    </row>
    <row r="54" spans="1:20" x14ac:dyDescent="0.3">
      <c r="B54" s="486">
        <v>2</v>
      </c>
      <c r="C54" s="486" t="str">
        <f t="shared" ref="C54:T54" si="23">C4</f>
        <v>E-111</v>
      </c>
      <c r="D54" s="486">
        <f t="shared" si="23"/>
        <v>0</v>
      </c>
      <c r="E54" s="486" t="str">
        <f t="shared" si="23"/>
        <v>3_To_4</v>
      </c>
      <c r="F54" s="486">
        <f t="shared" si="23"/>
        <v>33.115670399999999</v>
      </c>
      <c r="G54" s="486">
        <f t="shared" si="23"/>
        <v>0</v>
      </c>
      <c r="H54" s="486">
        <f t="shared" si="23"/>
        <v>708.070381</v>
      </c>
      <c r="I54" s="486">
        <f t="shared" si="23"/>
        <v>1</v>
      </c>
      <c r="J54" s="486" t="str">
        <f t="shared" si="23"/>
        <v>5_To_10</v>
      </c>
      <c r="K54" s="486">
        <f t="shared" si="23"/>
        <v>1230</v>
      </c>
      <c r="L54" s="486">
        <f t="shared" si="23"/>
        <v>0</v>
      </c>
      <c r="M54" s="486">
        <f t="shared" si="23"/>
        <v>697.77413053579801</v>
      </c>
      <c r="N54" s="486" t="b">
        <f t="shared" si="23"/>
        <v>0</v>
      </c>
      <c r="O54" s="486">
        <f t="shared" si="23"/>
        <v>2715390748.7486601</v>
      </c>
      <c r="P54" s="500">
        <f t="shared" si="23"/>
        <v>754.27520798573892</v>
      </c>
      <c r="Q54" s="488">
        <f t="shared" si="23"/>
        <v>231868.91329458001</v>
      </c>
      <c r="R54" s="486">
        <f t="shared" si="23"/>
        <v>0</v>
      </c>
      <c r="S54" s="486">
        <f t="shared" si="23"/>
        <v>521.929619</v>
      </c>
      <c r="T54" s="486">
        <f t="shared" si="23"/>
        <v>664.65846013579801</v>
      </c>
    </row>
    <row r="55" spans="1:20" x14ac:dyDescent="0.3">
      <c r="B55" s="486">
        <v>3</v>
      </c>
      <c r="C55" s="486" t="str">
        <f t="shared" ref="C55:T55" si="24">C5</f>
        <v>E-112</v>
      </c>
      <c r="D55" s="486">
        <f t="shared" si="24"/>
        <v>0</v>
      </c>
      <c r="E55" s="486" t="str">
        <f t="shared" si="24"/>
        <v>31_To_35</v>
      </c>
      <c r="F55" s="486">
        <f t="shared" si="24"/>
        <v>15</v>
      </c>
      <c r="G55" s="486">
        <f t="shared" si="24"/>
        <v>0</v>
      </c>
      <c r="H55" s="486">
        <f t="shared" si="24"/>
        <v>35</v>
      </c>
      <c r="I55" s="486">
        <f t="shared" si="24"/>
        <v>1</v>
      </c>
      <c r="J55" s="486" t="str">
        <f t="shared" si="24"/>
        <v>5_To_10</v>
      </c>
      <c r="K55" s="486">
        <f t="shared" si="24"/>
        <v>697.77413053579801</v>
      </c>
      <c r="L55" s="486">
        <f t="shared" si="24"/>
        <v>0</v>
      </c>
      <c r="M55" s="486">
        <f t="shared" si="24"/>
        <v>666.15607037386405</v>
      </c>
      <c r="N55" s="486" t="b">
        <f t="shared" si="24"/>
        <v>0</v>
      </c>
      <c r="O55" s="486">
        <f t="shared" si="24"/>
        <v>41005772.928975001</v>
      </c>
      <c r="P55" s="500">
        <f t="shared" si="24"/>
        <v>11.390492480270833</v>
      </c>
      <c r="Q55" s="488">
        <f t="shared" si="24"/>
        <v>524.36286141868902</v>
      </c>
      <c r="R55" s="486">
        <f t="shared" si="24"/>
        <v>0</v>
      </c>
      <c r="S55" s="486">
        <f t="shared" si="24"/>
        <v>662.77413053579801</v>
      </c>
      <c r="T55" s="486">
        <f t="shared" si="24"/>
        <v>651.15607037386405</v>
      </c>
    </row>
    <row r="56" spans="1:20" x14ac:dyDescent="0.3">
      <c r="B56" s="486">
        <v>4</v>
      </c>
      <c r="C56" s="486" t="str">
        <f t="shared" ref="C56:T56" si="25">C6</f>
        <v>E-113</v>
      </c>
      <c r="D56" s="486">
        <f t="shared" si="25"/>
        <v>0</v>
      </c>
      <c r="E56" s="486" t="str">
        <f t="shared" si="25"/>
        <v>45_To_46</v>
      </c>
      <c r="F56" s="486">
        <f t="shared" si="25"/>
        <v>-124.977037</v>
      </c>
      <c r="G56" s="486">
        <f t="shared" si="25"/>
        <v>0</v>
      </c>
      <c r="H56" s="486">
        <f t="shared" si="25"/>
        <v>35</v>
      </c>
      <c r="I56" s="486">
        <f t="shared" si="25"/>
        <v>1</v>
      </c>
      <c r="J56" s="486" t="str">
        <f t="shared" si="25"/>
        <v>5_To_10</v>
      </c>
      <c r="K56" s="486">
        <f t="shared" si="25"/>
        <v>697.77413053579801</v>
      </c>
      <c r="L56" s="486">
        <f t="shared" si="25"/>
        <v>0</v>
      </c>
      <c r="M56" s="486">
        <f t="shared" si="25"/>
        <v>666.15607037386405</v>
      </c>
      <c r="N56" s="486" t="b">
        <f t="shared" si="25"/>
        <v>0</v>
      </c>
      <c r="O56" s="486">
        <f t="shared" si="25"/>
        <v>105911773.65742999</v>
      </c>
      <c r="P56" s="500">
        <f t="shared" si="25"/>
        <v>29.419937127063886</v>
      </c>
      <c r="Q56" s="488">
        <f t="shared" si="25"/>
        <v>1517.8128437673499</v>
      </c>
      <c r="R56" s="486">
        <f t="shared" si="25"/>
        <v>0</v>
      </c>
      <c r="S56" s="486">
        <f t="shared" si="25"/>
        <v>662.77413053579801</v>
      </c>
      <c r="T56" s="486">
        <f t="shared" si="25"/>
        <v>791.13310737386405</v>
      </c>
    </row>
    <row r="57" spans="1:20" x14ac:dyDescent="0.3">
      <c r="B57" s="491">
        <v>5</v>
      </c>
      <c r="C57" s="491" t="str">
        <f t="shared" ref="C57:T57" si="26">C8</f>
        <v>E-115</v>
      </c>
      <c r="D57" s="491">
        <f t="shared" si="26"/>
        <v>0</v>
      </c>
      <c r="E57" s="491" t="str">
        <f t="shared" si="26"/>
        <v>CW</v>
      </c>
      <c r="F57" s="491">
        <f t="shared" si="26"/>
        <v>20</v>
      </c>
      <c r="G57" s="491">
        <f t="shared" si="26"/>
        <v>0</v>
      </c>
      <c r="H57" s="491">
        <f t="shared" si="26"/>
        <v>25</v>
      </c>
      <c r="I57" s="491" t="b">
        <f t="shared" si="26"/>
        <v>0</v>
      </c>
      <c r="J57" s="491" t="str">
        <f t="shared" si="26"/>
        <v>5_To_10</v>
      </c>
      <c r="K57" s="491">
        <f t="shared" si="26"/>
        <v>666.15607037386405</v>
      </c>
      <c r="L57" s="491">
        <f t="shared" si="26"/>
        <v>0</v>
      </c>
      <c r="M57" s="491">
        <f t="shared" si="26"/>
        <v>95.001737323218407</v>
      </c>
      <c r="N57" s="491">
        <f t="shared" si="26"/>
        <v>1</v>
      </c>
      <c r="O57" s="491">
        <f t="shared" si="26"/>
        <v>2391974034.50247</v>
      </c>
      <c r="P57" s="502">
        <f t="shared" si="26"/>
        <v>664.4372318062417</v>
      </c>
      <c r="Q57" s="492">
        <f t="shared" si="26"/>
        <v>63656.534207650002</v>
      </c>
      <c r="R57" s="491">
        <f t="shared" si="26"/>
        <v>0</v>
      </c>
      <c r="S57" s="491">
        <f t="shared" si="26"/>
        <v>641.15607037386405</v>
      </c>
      <c r="T57" s="491">
        <f t="shared" si="26"/>
        <v>75.001737323218407</v>
      </c>
    </row>
    <row r="58" spans="1:20" x14ac:dyDescent="0.3">
      <c r="B58" s="486">
        <v>6</v>
      </c>
      <c r="C58" s="486" t="str">
        <f t="shared" ref="C58:T58" si="27">C9</f>
        <v>E-116</v>
      </c>
      <c r="D58" s="486">
        <f t="shared" si="27"/>
        <v>0</v>
      </c>
      <c r="E58" s="486" t="str">
        <f t="shared" si="27"/>
        <v>31_To_35</v>
      </c>
      <c r="F58" s="486">
        <f t="shared" si="27"/>
        <v>-119.473661440684</v>
      </c>
      <c r="G58" s="486">
        <f t="shared" si="27"/>
        <v>0</v>
      </c>
      <c r="H58" s="486">
        <f t="shared" si="27"/>
        <v>1.6634649743511101</v>
      </c>
      <c r="I58" s="486">
        <f t="shared" si="27"/>
        <v>1</v>
      </c>
      <c r="J58" s="486" t="str">
        <f t="shared" si="27"/>
        <v>5_To_10</v>
      </c>
      <c r="K58" s="486">
        <f t="shared" si="27"/>
        <v>95.001737323218407</v>
      </c>
      <c r="L58" s="486">
        <f t="shared" si="27"/>
        <v>0</v>
      </c>
      <c r="M58" s="486">
        <f t="shared" si="27"/>
        <v>30</v>
      </c>
      <c r="N58" s="486">
        <f t="shared" si="27"/>
        <v>1</v>
      </c>
      <c r="O58" s="486">
        <f t="shared" si="27"/>
        <v>248366074.95217401</v>
      </c>
      <c r="P58" s="500">
        <f t="shared" si="27"/>
        <v>68.990576375603894</v>
      </c>
      <c r="Q58" s="488">
        <f t="shared" si="27"/>
        <v>18828.978227570598</v>
      </c>
      <c r="R58" s="486">
        <f t="shared" si="27"/>
        <v>0</v>
      </c>
      <c r="S58" s="486">
        <f t="shared" si="27"/>
        <v>93.338272348867307</v>
      </c>
      <c r="T58" s="486">
        <f t="shared" si="27"/>
        <v>149.473661440684</v>
      </c>
    </row>
    <row r="59" spans="1:20" x14ac:dyDescent="0.3">
      <c r="P59" s="500"/>
      <c r="Q59" s="488"/>
    </row>
    <row r="60" spans="1:20" x14ac:dyDescent="0.3">
      <c r="A60" s="486" t="s">
        <v>916</v>
      </c>
      <c r="B60" s="486">
        <v>7</v>
      </c>
      <c r="C60" s="486" t="str">
        <f t="shared" ref="C60:T60" si="28">C7</f>
        <v>E-114</v>
      </c>
      <c r="D60" s="486">
        <f t="shared" si="28"/>
        <v>0</v>
      </c>
      <c r="E60" s="486" t="str">
        <f t="shared" si="28"/>
        <v>31_To_35</v>
      </c>
      <c r="F60" s="486">
        <f t="shared" si="28"/>
        <v>1.6634649743511101</v>
      </c>
      <c r="G60" s="486">
        <f t="shared" si="28"/>
        <v>0</v>
      </c>
      <c r="H60" s="486">
        <f t="shared" si="28"/>
        <v>15</v>
      </c>
      <c r="I60" s="486">
        <f t="shared" si="28"/>
        <v>1</v>
      </c>
      <c r="J60" s="486" t="str">
        <f t="shared" si="28"/>
        <v>14_To_15</v>
      </c>
      <c r="K60" s="486">
        <f t="shared" si="28"/>
        <v>35</v>
      </c>
      <c r="L60" s="486">
        <f t="shared" si="28"/>
        <v>0</v>
      </c>
      <c r="M60" s="486">
        <f t="shared" si="28"/>
        <v>27.1146207730899</v>
      </c>
      <c r="N60" s="486">
        <f t="shared" si="28"/>
        <v>1</v>
      </c>
      <c r="O60" s="486">
        <f t="shared" si="28"/>
        <v>27343746.3460541</v>
      </c>
      <c r="P60" s="500">
        <f t="shared" si="28"/>
        <v>7.5954850961261391</v>
      </c>
      <c r="Q60" s="488">
        <f t="shared" si="28"/>
        <v>2627.5200166150298</v>
      </c>
      <c r="R60" s="486">
        <f t="shared" si="28"/>
        <v>0</v>
      </c>
      <c r="S60" s="486">
        <f t="shared" si="28"/>
        <v>20</v>
      </c>
      <c r="T60" s="486">
        <f t="shared" si="28"/>
        <v>25.4511557987388</v>
      </c>
    </row>
    <row r="61" spans="1:20" x14ac:dyDescent="0.3">
      <c r="B61" s="486">
        <v>8</v>
      </c>
      <c r="C61" s="486" t="str">
        <f t="shared" ref="C61:T61" si="29">C10</f>
        <v>E-117</v>
      </c>
      <c r="D61" s="486">
        <f t="shared" si="29"/>
        <v>0</v>
      </c>
      <c r="E61" s="486" t="str">
        <f t="shared" si="29"/>
        <v>To Reboiler@T3_TO_28-C2C5</v>
      </c>
      <c r="F61" s="486">
        <f t="shared" si="29"/>
        <v>-87.391500579819294</v>
      </c>
      <c r="G61" s="486">
        <f t="shared" si="29"/>
        <v>0</v>
      </c>
      <c r="H61" s="486">
        <f t="shared" si="29"/>
        <v>-82.1809303</v>
      </c>
      <c r="I61" s="486" t="b">
        <f t="shared" si="29"/>
        <v>0</v>
      </c>
      <c r="J61" s="486" t="str">
        <f t="shared" si="29"/>
        <v>22_To_24</v>
      </c>
      <c r="K61" s="486">
        <f t="shared" si="29"/>
        <v>-60</v>
      </c>
      <c r="L61" s="486">
        <f t="shared" si="29"/>
        <v>0</v>
      </c>
      <c r="M61" s="486">
        <f t="shared" si="29"/>
        <v>-75.406231828833896</v>
      </c>
      <c r="N61" s="486">
        <f t="shared" si="29"/>
        <v>1</v>
      </c>
      <c r="O61" s="486">
        <f t="shared" si="29"/>
        <v>52482156.0346025</v>
      </c>
      <c r="P61" s="500">
        <f t="shared" si="29"/>
        <v>14.578376676278472</v>
      </c>
      <c r="Q61" s="488">
        <f t="shared" si="29"/>
        <v>3627.0798774176701</v>
      </c>
      <c r="R61" s="486">
        <f t="shared" si="29"/>
        <v>0</v>
      </c>
      <c r="S61" s="486">
        <f t="shared" si="29"/>
        <v>22.1809303</v>
      </c>
      <c r="T61" s="486">
        <f t="shared" si="29"/>
        <v>11.9852687509853</v>
      </c>
    </row>
    <row r="62" spans="1:20" x14ac:dyDescent="0.3">
      <c r="B62" s="486">
        <v>9</v>
      </c>
      <c r="C62" s="486" t="str">
        <f t="shared" ref="C62:T62" si="30">C12</f>
        <v>E-119</v>
      </c>
      <c r="D62" s="486">
        <f t="shared" si="30"/>
        <v>0</v>
      </c>
      <c r="E62" s="486" t="str">
        <f t="shared" si="30"/>
        <v>To Reboiler@T2_TO_26-C2+</v>
      </c>
      <c r="F62" s="486">
        <f t="shared" si="30"/>
        <v>-56.348231355268197</v>
      </c>
      <c r="G62" s="486">
        <f t="shared" si="30"/>
        <v>0</v>
      </c>
      <c r="H62" s="486">
        <f t="shared" si="30"/>
        <v>-51.280822899999997</v>
      </c>
      <c r="I62" s="486">
        <f t="shared" si="30"/>
        <v>1</v>
      </c>
      <c r="J62" s="486" t="str">
        <f t="shared" si="30"/>
        <v>17_To_18</v>
      </c>
      <c r="K62" s="486">
        <f t="shared" si="30"/>
        <v>20</v>
      </c>
      <c r="L62" s="486">
        <f t="shared" si="30"/>
        <v>0</v>
      </c>
      <c r="M62" s="486">
        <f t="shared" si="30"/>
        <v>-28.5670407777775</v>
      </c>
      <c r="N62" s="486">
        <f t="shared" si="30"/>
        <v>1</v>
      </c>
      <c r="O62" s="486">
        <f t="shared" si="30"/>
        <v>175386497.12285101</v>
      </c>
      <c r="P62" s="500">
        <f t="shared" si="30"/>
        <v>48.718471423014172</v>
      </c>
      <c r="Q62" s="488">
        <f t="shared" si="30"/>
        <v>3506.0192248901699</v>
      </c>
      <c r="R62" s="486">
        <f t="shared" si="30"/>
        <v>0</v>
      </c>
      <c r="S62" s="486">
        <f t="shared" si="30"/>
        <v>71.280822900000004</v>
      </c>
      <c r="T62" s="486">
        <f t="shared" si="30"/>
        <v>27.781190577490701</v>
      </c>
    </row>
    <row r="63" spans="1:20" x14ac:dyDescent="0.3">
      <c r="B63" s="486">
        <v>10</v>
      </c>
      <c r="C63" s="486" t="str">
        <f t="shared" ref="C63:T63" si="31">C13</f>
        <v>E-120</v>
      </c>
      <c r="D63" s="486">
        <f t="shared" si="31"/>
        <v>0</v>
      </c>
      <c r="E63" s="486" t="str">
        <f t="shared" si="31"/>
        <v>To Reboiler@T3_TO_28-C2C5</v>
      </c>
      <c r="F63" s="486">
        <f t="shared" si="31"/>
        <v>-87.391500579819294</v>
      </c>
      <c r="G63" s="486">
        <f t="shared" si="31"/>
        <v>0</v>
      </c>
      <c r="H63" s="486">
        <f t="shared" si="31"/>
        <v>-82.1809303</v>
      </c>
      <c r="I63" s="486" t="b">
        <f t="shared" si="31"/>
        <v>0</v>
      </c>
      <c r="J63" s="486" t="str">
        <f t="shared" si="31"/>
        <v>V3_heat</v>
      </c>
      <c r="K63" s="486">
        <f t="shared" si="31"/>
        <v>-31.127413313612699</v>
      </c>
      <c r="L63" s="486">
        <f t="shared" si="31"/>
        <v>0</v>
      </c>
      <c r="M63" s="486">
        <f t="shared" si="31"/>
        <v>-44.433368986792701</v>
      </c>
      <c r="N63" s="486">
        <f t="shared" si="31"/>
        <v>1</v>
      </c>
      <c r="O63" s="486">
        <f t="shared" si="31"/>
        <v>45654055.863016203</v>
      </c>
      <c r="P63" s="500">
        <f t="shared" si="31"/>
        <v>12.681682184171168</v>
      </c>
      <c r="Q63" s="488">
        <f t="shared" si="31"/>
        <v>1544.74466950953</v>
      </c>
      <c r="R63" s="486">
        <f t="shared" si="31"/>
        <v>0</v>
      </c>
      <c r="S63" s="486">
        <f t="shared" si="31"/>
        <v>51.053516986387301</v>
      </c>
      <c r="T63" s="486">
        <f t="shared" si="31"/>
        <v>42.9581315930266</v>
      </c>
    </row>
    <row r="64" spans="1:20" x14ac:dyDescent="0.3">
      <c r="B64" s="491">
        <v>11</v>
      </c>
      <c r="C64" s="491" t="str">
        <f t="shared" ref="C64:T64" si="32">C15</f>
        <v>E-122</v>
      </c>
      <c r="D64" s="491">
        <f t="shared" si="32"/>
        <v>0</v>
      </c>
      <c r="E64" s="491" t="str">
        <f t="shared" si="32"/>
        <v>CRYOTEMP</v>
      </c>
      <c r="F64" s="491">
        <f t="shared" si="32"/>
        <v>-269.24253056437402</v>
      </c>
      <c r="G64" s="491">
        <f t="shared" si="32"/>
        <v>0</v>
      </c>
      <c r="H64" s="491">
        <f t="shared" si="32"/>
        <v>-269</v>
      </c>
      <c r="I64" s="491" t="b">
        <f t="shared" si="32"/>
        <v>0</v>
      </c>
      <c r="J64" s="491" t="str">
        <f t="shared" si="32"/>
        <v>To Condenser@T1_TO_21</v>
      </c>
      <c r="K64" s="491">
        <f t="shared" si="32"/>
        <v>38.387636965150499</v>
      </c>
      <c r="L64" s="491">
        <f t="shared" si="32"/>
        <v>0</v>
      </c>
      <c r="M64" s="491">
        <f t="shared" si="32"/>
        <v>0.89491272300000402</v>
      </c>
      <c r="N64" s="491">
        <f t="shared" si="32"/>
        <v>1</v>
      </c>
      <c r="O64" s="491">
        <f t="shared" si="32"/>
        <v>323821.28429353499</v>
      </c>
      <c r="P64" s="502">
        <f t="shared" si="32"/>
        <v>8.995035674820416E-2</v>
      </c>
      <c r="Q64" s="492">
        <f t="shared" si="32"/>
        <v>1.0619544203459499</v>
      </c>
      <c r="R64" s="491">
        <f t="shared" si="32"/>
        <v>0</v>
      </c>
      <c r="S64" s="491">
        <f t="shared" si="32"/>
        <v>307.38763696515002</v>
      </c>
      <c r="T64" s="491">
        <f t="shared" si="32"/>
        <v>270.13744328737403</v>
      </c>
    </row>
    <row r="65" spans="1:20" x14ac:dyDescent="0.3">
      <c r="B65" s="491">
        <v>12</v>
      </c>
      <c r="C65" s="491" t="str">
        <f t="shared" ref="C65:T65" si="33">C16</f>
        <v>E-123</v>
      </c>
      <c r="D65" s="491">
        <f t="shared" si="33"/>
        <v>0</v>
      </c>
      <c r="E65" s="491" t="str">
        <f t="shared" si="33"/>
        <v>CRYOTEMP</v>
      </c>
      <c r="F65" s="491">
        <f t="shared" si="33"/>
        <v>-269.24253056437402</v>
      </c>
      <c r="G65" s="491">
        <f t="shared" si="33"/>
        <v>0</v>
      </c>
      <c r="H65" s="491">
        <f t="shared" si="33"/>
        <v>-269</v>
      </c>
      <c r="I65" s="491" t="b">
        <f t="shared" si="33"/>
        <v>0</v>
      </c>
      <c r="J65" s="491" t="str">
        <f t="shared" si="33"/>
        <v>To Condenser@T2_TO_45Duplicate</v>
      </c>
      <c r="K65" s="491">
        <f t="shared" si="33"/>
        <v>-124.73483866141299</v>
      </c>
      <c r="L65" s="491">
        <f t="shared" si="33"/>
        <v>0</v>
      </c>
      <c r="M65" s="491">
        <f t="shared" si="33"/>
        <v>-124.977037</v>
      </c>
      <c r="N65" s="491">
        <f t="shared" si="33"/>
        <v>1</v>
      </c>
      <c r="O65" s="491">
        <f t="shared" si="33"/>
        <v>18896308.556804899</v>
      </c>
      <c r="P65" s="502">
        <f t="shared" si="33"/>
        <v>5.2489745991124721</v>
      </c>
      <c r="Q65" s="492">
        <f t="shared" si="33"/>
        <v>67.1312859577083</v>
      </c>
      <c r="R65" s="491">
        <f t="shared" si="33"/>
        <v>0</v>
      </c>
      <c r="S65" s="491">
        <f t="shared" si="33"/>
        <v>144.26516133858701</v>
      </c>
      <c r="T65" s="491">
        <f t="shared" si="33"/>
        <v>144.265493564374</v>
      </c>
    </row>
    <row r="66" spans="1:20" x14ac:dyDescent="0.3">
      <c r="B66" s="486">
        <v>13</v>
      </c>
      <c r="C66" s="486" t="str">
        <f t="shared" ref="C66:T66" si="34">C18</f>
        <v>E-125</v>
      </c>
      <c r="D66" s="486">
        <f t="shared" si="34"/>
        <v>0</v>
      </c>
      <c r="E66" s="486" t="str">
        <f t="shared" si="34"/>
        <v>31_To_35</v>
      </c>
      <c r="F66" s="486">
        <f t="shared" si="34"/>
        <v>-167</v>
      </c>
      <c r="G66" s="486">
        <f t="shared" si="34"/>
        <v>0</v>
      </c>
      <c r="H66" s="486">
        <f t="shared" si="34"/>
        <v>-154.96704807668399</v>
      </c>
      <c r="I66" s="486">
        <f t="shared" si="34"/>
        <v>1</v>
      </c>
      <c r="J66" s="486" t="str">
        <f t="shared" si="34"/>
        <v>14_To_15</v>
      </c>
      <c r="K66" s="486">
        <f t="shared" si="34"/>
        <v>27.1146207730899</v>
      </c>
      <c r="L66" s="486">
        <f t="shared" si="34"/>
        <v>0</v>
      </c>
      <c r="M66" s="486">
        <f t="shared" si="34"/>
        <v>20</v>
      </c>
      <c r="N66" s="486">
        <f t="shared" si="34"/>
        <v>1</v>
      </c>
      <c r="O66" s="486">
        <f t="shared" si="34"/>
        <v>24671024.711638</v>
      </c>
      <c r="P66" s="500">
        <f t="shared" si="34"/>
        <v>6.8530624198994445</v>
      </c>
      <c r="Q66" s="488">
        <f t="shared" si="34"/>
        <v>280.39568731181703</v>
      </c>
      <c r="R66" s="486">
        <f t="shared" si="34"/>
        <v>0</v>
      </c>
      <c r="S66" s="486">
        <f t="shared" si="34"/>
        <v>182.08166884977399</v>
      </c>
      <c r="T66" s="486">
        <f t="shared" si="34"/>
        <v>187</v>
      </c>
    </row>
    <row r="67" spans="1:20" x14ac:dyDescent="0.3">
      <c r="B67" s="486">
        <v>14</v>
      </c>
      <c r="C67" s="486" t="str">
        <f t="shared" ref="C67:T67" si="35">C23</f>
        <v>E-130</v>
      </c>
      <c r="D67" s="486">
        <f t="shared" si="35"/>
        <v>0</v>
      </c>
      <c r="E67" s="486" t="str">
        <f t="shared" si="35"/>
        <v>To Reboiler@T3_TO_28-C2C5</v>
      </c>
      <c r="F67" s="486">
        <f t="shared" si="35"/>
        <v>-88.318584536369499</v>
      </c>
      <c r="G67" s="486">
        <f t="shared" si="35"/>
        <v>0</v>
      </c>
      <c r="H67" s="486">
        <f t="shared" si="35"/>
        <v>-87.391500579819294</v>
      </c>
      <c r="I67" s="486" t="b">
        <f t="shared" si="35"/>
        <v>0</v>
      </c>
      <c r="J67" s="486" t="str">
        <f t="shared" si="35"/>
        <v>17_To_18</v>
      </c>
      <c r="K67" s="486">
        <f t="shared" si="35"/>
        <v>-28.5670407777775</v>
      </c>
      <c r="L67" s="486">
        <f t="shared" si="35"/>
        <v>0</v>
      </c>
      <c r="M67" s="486">
        <f t="shared" si="35"/>
        <v>-31.141817199999998</v>
      </c>
      <c r="N67" s="486">
        <f t="shared" si="35"/>
        <v>1</v>
      </c>
      <c r="O67" s="486">
        <f t="shared" si="35"/>
        <v>9298096.2054976299</v>
      </c>
      <c r="P67" s="500">
        <f t="shared" si="35"/>
        <v>2.5828045015271193</v>
      </c>
      <c r="Q67" s="488">
        <f t="shared" si="35"/>
        <v>135.925467114605</v>
      </c>
      <c r="R67" s="486">
        <f t="shared" si="35"/>
        <v>0</v>
      </c>
      <c r="S67" s="486">
        <f t="shared" si="35"/>
        <v>58.824459802041702</v>
      </c>
      <c r="T67" s="486">
        <f t="shared" si="35"/>
        <v>57.176767336369601</v>
      </c>
    </row>
    <row r="68" spans="1:20" x14ac:dyDescent="0.3">
      <c r="B68" s="486">
        <v>15</v>
      </c>
      <c r="C68" s="486" t="str">
        <f t="shared" ref="C68:T68" si="36">C25</f>
        <v>E-132</v>
      </c>
      <c r="D68" s="486">
        <f t="shared" si="36"/>
        <v>0</v>
      </c>
      <c r="E68" s="486" t="str">
        <f t="shared" si="36"/>
        <v>To Reboiler@T3_TO_28-C2C5</v>
      </c>
      <c r="F68" s="486">
        <f t="shared" si="36"/>
        <v>-88.318584536369499</v>
      </c>
      <c r="G68" s="486">
        <f t="shared" si="36"/>
        <v>0</v>
      </c>
      <c r="H68" s="486">
        <f t="shared" si="36"/>
        <v>-87.391500579819294</v>
      </c>
      <c r="I68" s="486" t="b">
        <f t="shared" si="36"/>
        <v>0</v>
      </c>
      <c r="J68" s="486" t="str">
        <f t="shared" si="36"/>
        <v>V3_heat</v>
      </c>
      <c r="K68" s="486">
        <f t="shared" si="36"/>
        <v>-44.433368986792701</v>
      </c>
      <c r="L68" s="486">
        <f t="shared" si="36"/>
        <v>0</v>
      </c>
      <c r="M68" s="486">
        <f t="shared" si="36"/>
        <v>-60</v>
      </c>
      <c r="N68" s="486">
        <f t="shared" si="36"/>
        <v>1</v>
      </c>
      <c r="O68" s="486">
        <f t="shared" si="36"/>
        <v>53410657.5530238</v>
      </c>
      <c r="P68" s="500">
        <f t="shared" si="36"/>
        <v>14.836293764728833</v>
      </c>
      <c r="Q68" s="488">
        <f t="shared" si="36"/>
        <v>2179.8081586858202</v>
      </c>
      <c r="R68" s="486">
        <f t="shared" si="36"/>
        <v>0</v>
      </c>
      <c r="S68" s="486">
        <f t="shared" si="36"/>
        <v>42.9581315930266</v>
      </c>
      <c r="T68" s="486">
        <f t="shared" si="36"/>
        <v>28.318584536369499</v>
      </c>
    </row>
    <row r="69" spans="1:20" x14ac:dyDescent="0.3">
      <c r="P69" s="500"/>
      <c r="Q69" s="488"/>
    </row>
    <row r="70" spans="1:20" x14ac:dyDescent="0.3">
      <c r="A70" s="486" t="s">
        <v>920</v>
      </c>
      <c r="B70" s="486">
        <v>16</v>
      </c>
      <c r="C70" s="486" t="str">
        <f t="shared" ref="C70:T70" si="37">C11</f>
        <v>E-118</v>
      </c>
      <c r="D70" s="486">
        <f t="shared" si="37"/>
        <v>0</v>
      </c>
      <c r="E70" s="486" t="str">
        <f t="shared" si="37"/>
        <v>31_To_35</v>
      </c>
      <c r="F70" s="486">
        <f t="shared" si="37"/>
        <v>-154.96704807668399</v>
      </c>
      <c r="G70" s="486">
        <f t="shared" si="37"/>
        <v>0</v>
      </c>
      <c r="H70" s="486">
        <f t="shared" si="37"/>
        <v>-119.473661440684</v>
      </c>
      <c r="I70" s="486">
        <f t="shared" si="37"/>
        <v>1</v>
      </c>
      <c r="J70" s="486" t="str">
        <f t="shared" si="37"/>
        <v>To Condenser@T3_TO_27-ETHYL</v>
      </c>
      <c r="K70" s="486">
        <f t="shared" si="37"/>
        <v>-104.12595326851</v>
      </c>
      <c r="L70" s="486">
        <f t="shared" si="37"/>
        <v>0</v>
      </c>
      <c r="M70" s="486">
        <f t="shared" si="37"/>
        <v>-104.193123216595</v>
      </c>
      <c r="N70" s="486">
        <f t="shared" si="37"/>
        <v>1</v>
      </c>
      <c r="O70" s="486">
        <f t="shared" si="37"/>
        <v>72771687.643806607</v>
      </c>
      <c r="P70" s="500">
        <f t="shared" si="37"/>
        <v>20.214357678835167</v>
      </c>
      <c r="Q70" s="488">
        <f t="shared" si="37"/>
        <v>2547.8667252461</v>
      </c>
      <c r="R70" s="486">
        <f t="shared" si="37"/>
        <v>0</v>
      </c>
      <c r="S70" s="486">
        <f t="shared" si="37"/>
        <v>15.3477081721741</v>
      </c>
      <c r="T70" s="486">
        <f t="shared" si="37"/>
        <v>50.773924860088997</v>
      </c>
    </row>
    <row r="71" spans="1:20" x14ac:dyDescent="0.3">
      <c r="B71" s="491">
        <v>17</v>
      </c>
      <c r="C71" s="491" t="str">
        <f t="shared" ref="C71:T71" si="38">C14</f>
        <v>E-121</v>
      </c>
      <c r="D71" s="491">
        <f t="shared" si="38"/>
        <v>0</v>
      </c>
      <c r="E71" s="491" t="str">
        <f t="shared" si="38"/>
        <v>CRYOTEMP</v>
      </c>
      <c r="F71" s="491">
        <f t="shared" si="38"/>
        <v>-269.24253056437402</v>
      </c>
      <c r="G71" s="491">
        <f t="shared" si="38"/>
        <v>0</v>
      </c>
      <c r="H71" s="491">
        <f t="shared" si="38"/>
        <v>-269</v>
      </c>
      <c r="I71" s="491" t="b">
        <f t="shared" si="38"/>
        <v>0</v>
      </c>
      <c r="J71" s="491" t="str">
        <f t="shared" si="38"/>
        <v>29_To_30</v>
      </c>
      <c r="K71" s="491">
        <f t="shared" si="38"/>
        <v>-140</v>
      </c>
      <c r="L71" s="491">
        <f t="shared" si="38"/>
        <v>0</v>
      </c>
      <c r="M71" s="491">
        <f t="shared" si="38"/>
        <v>-159.13215600000001</v>
      </c>
      <c r="N71" s="491">
        <f t="shared" si="38"/>
        <v>1</v>
      </c>
      <c r="O71" s="491">
        <f t="shared" si="38"/>
        <v>116409735.100402</v>
      </c>
      <c r="P71" s="502">
        <f t="shared" si="38"/>
        <v>32.336037527889445</v>
      </c>
      <c r="Q71" s="492">
        <f t="shared" si="38"/>
        <v>452.97962597271498</v>
      </c>
      <c r="R71" s="491">
        <f t="shared" si="38"/>
        <v>0</v>
      </c>
      <c r="S71" s="491">
        <f t="shared" si="38"/>
        <v>129</v>
      </c>
      <c r="T71" s="491">
        <f t="shared" si="38"/>
        <v>110.110374564374</v>
      </c>
    </row>
    <row r="72" spans="1:20" x14ac:dyDescent="0.3">
      <c r="B72" s="491">
        <v>18</v>
      </c>
      <c r="C72" s="491" t="str">
        <f t="shared" ref="C72:T72" si="39">C19</f>
        <v>E-126</v>
      </c>
      <c r="D72" s="491">
        <f t="shared" si="39"/>
        <v>0</v>
      </c>
      <c r="E72" s="491" t="str">
        <f t="shared" si="39"/>
        <v>CRYOTEMP</v>
      </c>
      <c r="F72" s="491">
        <f t="shared" si="39"/>
        <v>-270</v>
      </c>
      <c r="G72" s="491">
        <f t="shared" si="39"/>
        <v>0</v>
      </c>
      <c r="H72" s="491">
        <f t="shared" si="39"/>
        <v>-269.24253056437402</v>
      </c>
      <c r="I72" s="491" t="b">
        <f t="shared" si="39"/>
        <v>0</v>
      </c>
      <c r="J72" s="491" t="str">
        <f t="shared" si="39"/>
        <v>V5_heat</v>
      </c>
      <c r="K72" s="491">
        <f t="shared" si="39"/>
        <v>-159.13215600000001</v>
      </c>
      <c r="L72" s="491">
        <f t="shared" si="39"/>
        <v>0</v>
      </c>
      <c r="M72" s="491">
        <f t="shared" si="39"/>
        <v>-167</v>
      </c>
      <c r="N72" s="491">
        <f t="shared" si="39"/>
        <v>1</v>
      </c>
      <c r="O72" s="491">
        <f t="shared" si="39"/>
        <v>37516725.413856</v>
      </c>
      <c r="P72" s="502">
        <f t="shared" si="39"/>
        <v>10.42131261496</v>
      </c>
      <c r="Q72" s="492">
        <f t="shared" si="39"/>
        <v>564.50129293723103</v>
      </c>
      <c r="R72" s="491">
        <f t="shared" si="39"/>
        <v>0</v>
      </c>
      <c r="S72" s="491">
        <f t="shared" si="39"/>
        <v>110.110374564374</v>
      </c>
      <c r="T72" s="491">
        <f t="shared" si="39"/>
        <v>103</v>
      </c>
    </row>
    <row r="73" spans="1:20" x14ac:dyDescent="0.3">
      <c r="B73" s="491">
        <v>19</v>
      </c>
      <c r="C73" s="491" t="str">
        <f t="shared" ref="C73:T73" si="40">C20</f>
        <v>E-127</v>
      </c>
      <c r="D73" s="491">
        <f t="shared" si="40"/>
        <v>0</v>
      </c>
      <c r="E73" s="491" t="str">
        <f t="shared" si="40"/>
        <v>CRYOTEMP</v>
      </c>
      <c r="F73" s="491">
        <f t="shared" si="40"/>
        <v>-270</v>
      </c>
      <c r="G73" s="491">
        <f t="shared" si="40"/>
        <v>0</v>
      </c>
      <c r="H73" s="491">
        <f t="shared" si="40"/>
        <v>-269.24253056437402</v>
      </c>
      <c r="I73" s="491" t="b">
        <f t="shared" si="40"/>
        <v>0</v>
      </c>
      <c r="J73" s="491" t="str">
        <f t="shared" si="40"/>
        <v>V4_heat</v>
      </c>
      <c r="K73" s="491">
        <f t="shared" si="40"/>
        <v>-103.315602</v>
      </c>
      <c r="L73" s="491">
        <f t="shared" si="40"/>
        <v>0</v>
      </c>
      <c r="M73" s="491">
        <f t="shared" si="40"/>
        <v>-140</v>
      </c>
      <c r="N73" s="491">
        <f t="shared" si="40"/>
        <v>1</v>
      </c>
      <c r="O73" s="491">
        <f t="shared" si="40"/>
        <v>283465028.52252001</v>
      </c>
      <c r="P73" s="502">
        <f t="shared" si="40"/>
        <v>78.740285700699999</v>
      </c>
      <c r="Q73" s="492">
        <f t="shared" si="40"/>
        <v>3086.0352733077402</v>
      </c>
      <c r="R73" s="491">
        <f t="shared" si="40"/>
        <v>0</v>
      </c>
      <c r="S73" s="491">
        <f t="shared" si="40"/>
        <v>165.92692856437401</v>
      </c>
      <c r="T73" s="491">
        <f t="shared" si="40"/>
        <v>130</v>
      </c>
    </row>
    <row r="74" spans="1:20" x14ac:dyDescent="0.3">
      <c r="B74" s="491">
        <v>20</v>
      </c>
      <c r="C74" s="491" t="str">
        <f>C21</f>
        <v>E-128</v>
      </c>
      <c r="D74" s="491">
        <v>21</v>
      </c>
      <c r="E74" s="491" t="str">
        <f>E21</f>
        <v>CRYOTEMP</v>
      </c>
      <c r="F74" s="491">
        <v>22</v>
      </c>
      <c r="G74" s="491">
        <f>G21</f>
        <v>0</v>
      </c>
      <c r="H74" s="491">
        <v>23</v>
      </c>
      <c r="I74" s="491" t="b">
        <f>I21</f>
        <v>0</v>
      </c>
      <c r="J74" s="491">
        <v>24</v>
      </c>
      <c r="K74" s="491">
        <f>K21</f>
        <v>-75.406231828833896</v>
      </c>
      <c r="L74" s="491">
        <v>25</v>
      </c>
      <c r="M74" s="491">
        <f>M21</f>
        <v>-103.315602</v>
      </c>
      <c r="N74" s="491">
        <v>26</v>
      </c>
      <c r="O74" s="491">
        <f>O21</f>
        <v>102616308.91684701</v>
      </c>
      <c r="P74" s="502">
        <v>27</v>
      </c>
      <c r="Q74" s="492">
        <f>Q21</f>
        <v>628.58754624023697</v>
      </c>
      <c r="R74" s="491">
        <v>28</v>
      </c>
      <c r="S74" s="491">
        <f>S21</f>
        <v>193.83629873554</v>
      </c>
      <c r="T74" s="491">
        <v>29</v>
      </c>
    </row>
    <row r="75" spans="1:20" x14ac:dyDescent="0.3">
      <c r="B75" s="486">
        <v>21</v>
      </c>
      <c r="C75" s="486" t="str">
        <f t="shared" ref="C75:T75" si="41">C24</f>
        <v>E-131</v>
      </c>
      <c r="D75" s="486">
        <f t="shared" si="41"/>
        <v>0</v>
      </c>
      <c r="E75" s="486" t="str">
        <f t="shared" si="41"/>
        <v>39_To_42</v>
      </c>
      <c r="F75" s="486">
        <f t="shared" si="41"/>
        <v>-169.27893900000001</v>
      </c>
      <c r="G75" s="486">
        <f t="shared" si="41"/>
        <v>0</v>
      </c>
      <c r="H75" s="486">
        <f t="shared" si="41"/>
        <v>-152.581270659719</v>
      </c>
      <c r="I75" s="486">
        <f t="shared" si="41"/>
        <v>1</v>
      </c>
      <c r="J75" s="486" t="str">
        <f t="shared" si="41"/>
        <v>To Condenser@T3_TO_27-ETHYL</v>
      </c>
      <c r="K75" s="486">
        <f t="shared" si="41"/>
        <v>-104.193123216595</v>
      </c>
      <c r="L75" s="486">
        <f t="shared" si="41"/>
        <v>0</v>
      </c>
      <c r="M75" s="486">
        <f t="shared" si="41"/>
        <v>-106.017233</v>
      </c>
      <c r="N75" s="486">
        <f t="shared" si="41"/>
        <v>1</v>
      </c>
      <c r="O75" s="486">
        <f t="shared" si="41"/>
        <v>103159142.90264</v>
      </c>
      <c r="P75" s="500">
        <f t="shared" si="41"/>
        <v>28.655317472955556</v>
      </c>
      <c r="Q75" s="488">
        <f t="shared" si="41"/>
        <v>296.12329007772797</v>
      </c>
      <c r="R75" s="486">
        <f t="shared" si="41"/>
        <v>0</v>
      </c>
      <c r="S75" s="486">
        <f t="shared" si="41"/>
        <v>48.388147443124097</v>
      </c>
      <c r="T75" s="486">
        <f t="shared" si="41"/>
        <v>63.261705999999997</v>
      </c>
    </row>
  </sheetData>
  <phoneticPr fontId="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6"/>
  <sheetViews>
    <sheetView zoomScale="70" zoomScaleNormal="70" workbookViewId="0">
      <selection activeCell="U108" sqref="U108"/>
    </sheetView>
  </sheetViews>
  <sheetFormatPr defaultRowHeight="16.5" x14ac:dyDescent="0.3"/>
  <cols>
    <col min="1" max="1" width="5.5" customWidth="1"/>
    <col min="3" max="3" width="14.25" bestFit="1" customWidth="1"/>
    <col min="4" max="4" width="16.875" customWidth="1"/>
    <col min="5" max="5" width="12.5" bestFit="1" customWidth="1"/>
    <col min="6" max="6" width="20" style="82" customWidth="1"/>
    <col min="7" max="7" width="9.5" bestFit="1" customWidth="1"/>
    <col min="8" max="9" width="9.125" customWidth="1"/>
    <col min="12" max="12" width="12.5" bestFit="1" customWidth="1"/>
    <col min="13" max="13" width="19.25" customWidth="1"/>
    <col min="14" max="14" width="10.25" customWidth="1"/>
    <col min="15" max="15" width="17.25" customWidth="1"/>
    <col min="16" max="16" width="11.25" bestFit="1" customWidth="1"/>
    <col min="17" max="17" width="16.25" customWidth="1"/>
    <col min="18" max="18" width="13.875" customWidth="1"/>
    <col min="19" max="19" width="7.5" customWidth="1"/>
    <col min="21" max="21" width="9.5" bestFit="1" customWidth="1"/>
    <col min="30" max="30" width="39.875" bestFit="1" customWidth="1"/>
    <col min="31" max="31" width="14.875" customWidth="1"/>
    <col min="32" max="32" width="10" bestFit="1" customWidth="1"/>
  </cols>
  <sheetData>
    <row r="1" spans="1:22" ht="20.25" x14ac:dyDescent="0.3">
      <c r="A1" s="45" t="s">
        <v>727</v>
      </c>
    </row>
    <row r="2" spans="1:22" ht="17.25" thickBot="1" x14ac:dyDescent="0.35"/>
    <row r="3" spans="1:22" ht="21" thickBot="1" x14ac:dyDescent="0.35">
      <c r="B3" s="569" t="s">
        <v>725</v>
      </c>
      <c r="C3" s="570"/>
      <c r="D3" s="570"/>
      <c r="E3" s="570"/>
      <c r="F3" s="571"/>
      <c r="H3" s="572" t="s">
        <v>703</v>
      </c>
      <c r="I3" s="573"/>
      <c r="J3" s="573"/>
      <c r="K3" s="573"/>
      <c r="L3" s="574"/>
    </row>
    <row r="4" spans="1:22" x14ac:dyDescent="0.3">
      <c r="B4" s="129" t="s">
        <v>716</v>
      </c>
      <c r="C4" s="136"/>
      <c r="D4" s="136"/>
      <c r="E4" s="136"/>
      <c r="F4" s="202" t="s">
        <v>194</v>
      </c>
      <c r="H4" s="63" t="s">
        <v>711</v>
      </c>
      <c r="I4" s="64"/>
      <c r="J4" s="64"/>
      <c r="K4" s="64"/>
      <c r="L4" s="105">
        <f>100.38*10^6*(1246/500)^0.67</f>
        <v>185069297.65272826</v>
      </c>
      <c r="M4" s="277" t="s">
        <v>702</v>
      </c>
    </row>
    <row r="5" spans="1:22" x14ac:dyDescent="0.3">
      <c r="B5" s="203" t="s">
        <v>719</v>
      </c>
      <c r="C5" s="84"/>
      <c r="D5" s="84"/>
      <c r="E5" s="84"/>
      <c r="F5" s="204" t="s">
        <v>227</v>
      </c>
      <c r="H5" s="67" t="s">
        <v>603</v>
      </c>
      <c r="I5" s="50"/>
      <c r="J5" s="50"/>
      <c r="K5" s="50"/>
      <c r="L5" s="137"/>
      <c r="V5" s="141"/>
    </row>
    <row r="6" spans="1:22" x14ac:dyDescent="0.3">
      <c r="B6" s="203" t="s">
        <v>720</v>
      </c>
      <c r="C6" s="84"/>
      <c r="D6" s="84"/>
      <c r="E6" s="84"/>
      <c r="F6" s="204" t="s">
        <v>233</v>
      </c>
      <c r="H6" s="108" t="s">
        <v>148</v>
      </c>
      <c r="I6" s="50"/>
      <c r="J6" s="50"/>
      <c r="K6" s="50"/>
      <c r="L6" s="137">
        <f>'Previous_Equipment cost'!E48</f>
        <v>1476700</v>
      </c>
      <c r="V6" s="141"/>
    </row>
    <row r="7" spans="1:22" x14ac:dyDescent="0.3">
      <c r="B7" s="95" t="s">
        <v>721</v>
      </c>
      <c r="C7" s="84"/>
      <c r="D7" s="84"/>
      <c r="E7" s="84"/>
      <c r="F7" s="204">
        <v>30</v>
      </c>
      <c r="H7" s="108" t="s">
        <v>126</v>
      </c>
      <c r="I7" s="50"/>
      <c r="J7" s="50"/>
      <c r="K7" s="50"/>
      <c r="L7" s="137">
        <f>'Previous_Equipment cost'!E53</f>
        <v>1090800</v>
      </c>
      <c r="V7" s="141"/>
    </row>
    <row r="8" spans="1:22" x14ac:dyDescent="0.3">
      <c r="B8" s="95" t="s">
        <v>722</v>
      </c>
      <c r="C8" s="84"/>
      <c r="D8" s="84"/>
      <c r="E8" s="84"/>
      <c r="F8" s="204">
        <v>8000</v>
      </c>
      <c r="H8" s="108" t="s">
        <v>124</v>
      </c>
      <c r="I8" s="50"/>
      <c r="J8" s="50"/>
      <c r="K8" s="50"/>
      <c r="L8" s="137">
        <f>'Previous_Equipment cost'!E51</f>
        <v>949500</v>
      </c>
      <c r="V8" s="141"/>
    </row>
    <row r="9" spans="1:22" x14ac:dyDescent="0.3">
      <c r="B9" s="95" t="s">
        <v>718</v>
      </c>
      <c r="C9" s="84"/>
      <c r="D9" s="84"/>
      <c r="E9" s="84"/>
      <c r="F9" s="204" t="s">
        <v>726</v>
      </c>
      <c r="H9" s="108" t="s">
        <v>79</v>
      </c>
      <c r="I9" s="50"/>
      <c r="J9" s="50"/>
      <c r="K9" s="50"/>
      <c r="L9" s="137">
        <f>'Previous_Equipment cost'!E63</f>
        <v>444700</v>
      </c>
      <c r="V9" s="141"/>
    </row>
    <row r="10" spans="1:22" x14ac:dyDescent="0.3">
      <c r="B10" s="95" t="s">
        <v>723</v>
      </c>
      <c r="C10" s="84"/>
      <c r="D10" s="84"/>
      <c r="E10" s="84"/>
      <c r="F10" s="204">
        <v>8</v>
      </c>
      <c r="H10" s="108" t="s">
        <v>80</v>
      </c>
      <c r="I10" s="50"/>
      <c r="J10" s="50"/>
      <c r="K10" s="50"/>
      <c r="L10" s="137">
        <f>'Previous_Equipment cost'!E32</f>
        <v>443200</v>
      </c>
      <c r="V10" s="141"/>
    </row>
    <row r="11" spans="1:22" ht="17.25" thickBot="1" x14ac:dyDescent="0.35">
      <c r="B11" s="96" t="s">
        <v>724</v>
      </c>
      <c r="C11" s="98"/>
      <c r="D11" s="98"/>
      <c r="E11" s="98"/>
      <c r="F11" s="205">
        <v>35</v>
      </c>
      <c r="H11" s="109" t="s">
        <v>604</v>
      </c>
      <c r="I11" s="50"/>
      <c r="J11" s="50"/>
      <c r="K11" s="50"/>
      <c r="L11" s="137"/>
      <c r="V11" s="141"/>
    </row>
    <row r="12" spans="1:22" ht="17.25" thickBot="1" x14ac:dyDescent="0.35">
      <c r="H12" s="108" t="s">
        <v>153</v>
      </c>
      <c r="I12" s="50"/>
      <c r="J12" s="50"/>
      <c r="K12" s="50"/>
      <c r="L12" s="137">
        <f>SUM('Previous_Equipment cost'!E20:E26)</f>
        <v>125300</v>
      </c>
      <c r="V12" s="141"/>
    </row>
    <row r="13" spans="1:22" ht="21" thickBot="1" x14ac:dyDescent="0.35">
      <c r="B13" s="569" t="s">
        <v>704</v>
      </c>
      <c r="C13" s="570"/>
      <c r="D13" s="570"/>
      <c r="E13" s="570"/>
      <c r="F13" s="571"/>
      <c r="G13" s="142"/>
      <c r="H13" s="108" t="s">
        <v>125</v>
      </c>
      <c r="I13" s="50"/>
      <c r="J13" s="50"/>
      <c r="K13" s="50"/>
      <c r="L13" s="137">
        <f>SUM('Previous_Equipment cost'!E54:E60)</f>
        <v>1031800</v>
      </c>
      <c r="V13" s="141"/>
    </row>
    <row r="14" spans="1:22" x14ac:dyDescent="0.3">
      <c r="B14" s="206" t="s">
        <v>630</v>
      </c>
      <c r="C14" s="84"/>
      <c r="D14" s="84"/>
      <c r="E14" s="84"/>
      <c r="F14" s="207">
        <f>SUBTOTAL(9,F15:F29)</f>
        <v>5.0400000000000009</v>
      </c>
      <c r="H14" s="108" t="s">
        <v>155</v>
      </c>
      <c r="I14" s="50"/>
      <c r="J14" s="50"/>
      <c r="K14" s="50"/>
      <c r="L14" s="137">
        <f>SUM('Previous_Equipment cost'!E37:E43)</f>
        <v>3547200</v>
      </c>
      <c r="V14" s="141"/>
    </row>
    <row r="15" spans="1:22" x14ac:dyDescent="0.3">
      <c r="B15" s="208" t="s">
        <v>628</v>
      </c>
      <c r="C15" s="209"/>
      <c r="D15" s="84"/>
      <c r="E15" s="84"/>
      <c r="F15" s="210">
        <f>SUBTOTAL(9,F16:F23)</f>
        <v>3.6000000000000005</v>
      </c>
      <c r="H15" s="109" t="s">
        <v>605</v>
      </c>
      <c r="I15" s="50"/>
      <c r="J15" s="50"/>
      <c r="K15" s="50"/>
      <c r="L15" s="137"/>
      <c r="V15" s="141"/>
    </row>
    <row r="16" spans="1:22" x14ac:dyDescent="0.3">
      <c r="B16" s="211" t="s">
        <v>608</v>
      </c>
      <c r="C16" s="209"/>
      <c r="D16" s="84"/>
      <c r="E16" s="84"/>
      <c r="F16" s="210">
        <v>1</v>
      </c>
      <c r="H16" s="108" t="s">
        <v>145</v>
      </c>
      <c r="I16" s="50"/>
      <c r="J16" s="50"/>
      <c r="K16" s="50"/>
      <c r="L16" s="137">
        <f>'Previous_Equipment cost'!E19</f>
        <v>12850900</v>
      </c>
      <c r="M16" s="194"/>
      <c r="V16" s="141"/>
    </row>
    <row r="17" spans="1:22" x14ac:dyDescent="0.3">
      <c r="B17" s="211" t="s">
        <v>631</v>
      </c>
      <c r="C17" s="209"/>
      <c r="D17" s="84"/>
      <c r="E17" s="84"/>
      <c r="F17" s="210">
        <v>0.47</v>
      </c>
      <c r="H17" s="108" t="s">
        <v>147</v>
      </c>
      <c r="I17" s="50"/>
      <c r="J17" s="50"/>
      <c r="K17" s="50"/>
      <c r="L17" s="137">
        <f>'Previous_Equipment cost'!E27</f>
        <v>4429400</v>
      </c>
      <c r="V17" s="141"/>
    </row>
    <row r="18" spans="1:22" x14ac:dyDescent="0.3">
      <c r="B18" s="211" t="s">
        <v>632</v>
      </c>
      <c r="C18" s="209"/>
      <c r="D18" s="84"/>
      <c r="E18" s="84"/>
      <c r="F18" s="210">
        <v>0.36</v>
      </c>
      <c r="H18" s="108" t="s">
        <v>150</v>
      </c>
      <c r="I18" s="50"/>
      <c r="J18" s="50"/>
      <c r="K18" s="50"/>
      <c r="L18" s="137">
        <f>'Previous_Equipment cost'!E47</f>
        <v>8613900</v>
      </c>
      <c r="V18" s="141"/>
    </row>
    <row r="19" spans="1:22" x14ac:dyDescent="0.3">
      <c r="B19" s="211" t="s">
        <v>633</v>
      </c>
      <c r="C19" s="209"/>
      <c r="D19" s="84"/>
      <c r="E19" s="84"/>
      <c r="F19" s="210">
        <v>0.68</v>
      </c>
      <c r="H19" s="108" t="s">
        <v>141</v>
      </c>
      <c r="I19" s="50"/>
      <c r="J19" s="50"/>
      <c r="K19" s="50"/>
      <c r="L19" s="137">
        <f>(541.7/280)*101.3*28232^0.65*(0.8+0)*1</f>
        <v>122541.24999233587</v>
      </c>
      <c r="M19" s="183" t="s">
        <v>709</v>
      </c>
    </row>
    <row r="20" spans="1:22" x14ac:dyDescent="0.3">
      <c r="B20" s="211" t="s">
        <v>634</v>
      </c>
      <c r="C20" s="209"/>
      <c r="D20" s="84"/>
      <c r="E20" s="84"/>
      <c r="F20" s="210">
        <v>0.11</v>
      </c>
      <c r="H20" s="108" t="s">
        <v>142</v>
      </c>
      <c r="I20" s="50"/>
      <c r="J20" s="50"/>
      <c r="K20" s="50"/>
      <c r="L20" s="137">
        <f>541.7/323.8*398*(1375/1)^0.65*(1+0.52)*1</f>
        <v>110944.40490680157</v>
      </c>
    </row>
    <row r="21" spans="1:22" x14ac:dyDescent="0.3">
      <c r="B21" s="211" t="s">
        <v>635</v>
      </c>
      <c r="C21" s="209"/>
      <c r="D21" s="84"/>
      <c r="E21" s="84"/>
      <c r="F21" s="210">
        <v>0.18</v>
      </c>
      <c r="H21" s="108" t="s">
        <v>151</v>
      </c>
      <c r="I21" s="50"/>
      <c r="J21" s="50"/>
      <c r="K21" s="50"/>
      <c r="L21" s="137">
        <f>'Previous_Equipment cost'!E44</f>
        <v>1865400</v>
      </c>
    </row>
    <row r="22" spans="1:22" x14ac:dyDescent="0.3">
      <c r="B22" s="211" t="s">
        <v>636</v>
      </c>
      <c r="C22" s="209"/>
      <c r="D22" s="84"/>
      <c r="E22" s="84"/>
      <c r="F22" s="210">
        <v>0.1</v>
      </c>
      <c r="H22" s="108" t="s">
        <v>152</v>
      </c>
      <c r="I22" s="50"/>
      <c r="J22" s="50"/>
      <c r="K22" s="50"/>
      <c r="L22" s="137">
        <f>'Previous_Equipment cost'!E62</f>
        <v>409400</v>
      </c>
    </row>
    <row r="23" spans="1:22" x14ac:dyDescent="0.3">
      <c r="B23" s="211" t="s">
        <v>637</v>
      </c>
      <c r="C23" s="209"/>
      <c r="D23" s="84"/>
      <c r="E23" s="84"/>
      <c r="F23" s="210">
        <v>0.7</v>
      </c>
      <c r="H23" s="108" t="s">
        <v>154</v>
      </c>
      <c r="I23" s="50"/>
      <c r="J23" s="50"/>
      <c r="K23" s="50"/>
      <c r="L23" s="137">
        <f>'Previous_Equipment cost'!$E$61</f>
        <v>475200</v>
      </c>
    </row>
    <row r="24" spans="1:22" ht="17.25" thickBot="1" x14ac:dyDescent="0.35">
      <c r="B24" s="208" t="s">
        <v>629</v>
      </c>
      <c r="C24" s="209"/>
      <c r="D24" s="84"/>
      <c r="E24" s="84"/>
      <c r="F24" s="210">
        <f>SUBTOTAL(9,F25:F29)</f>
        <v>1.44</v>
      </c>
      <c r="H24" s="200" t="s">
        <v>156</v>
      </c>
      <c r="I24" s="71"/>
      <c r="J24" s="71"/>
      <c r="K24" s="71"/>
      <c r="L24" s="138">
        <f>'Previous_Equipment cost'!E29</f>
        <v>801700</v>
      </c>
    </row>
    <row r="25" spans="1:22" ht="21" thickBot="1" x14ac:dyDescent="0.35">
      <c r="B25" s="211" t="s">
        <v>638</v>
      </c>
      <c r="C25" s="84"/>
      <c r="D25" s="84"/>
      <c r="E25" s="84"/>
      <c r="F25" s="210">
        <v>0.33</v>
      </c>
      <c r="H25" s="572" t="s">
        <v>614</v>
      </c>
      <c r="I25" s="573"/>
      <c r="J25" s="573"/>
      <c r="K25" s="573"/>
      <c r="L25" s="148">
        <f>SUM(L4:L24)</f>
        <v>223857883.30762741</v>
      </c>
    </row>
    <row r="26" spans="1:22" x14ac:dyDescent="0.3">
      <c r="B26" s="211" t="s">
        <v>639</v>
      </c>
      <c r="C26" s="84"/>
      <c r="D26" s="84"/>
      <c r="E26" s="84"/>
      <c r="F26" s="210">
        <v>0.41</v>
      </c>
    </row>
    <row r="27" spans="1:22" x14ac:dyDescent="0.3">
      <c r="B27" s="211" t="s">
        <v>640</v>
      </c>
      <c r="C27" s="84"/>
      <c r="D27" s="84"/>
      <c r="E27" s="84"/>
      <c r="F27" s="210">
        <v>0.04</v>
      </c>
    </row>
    <row r="28" spans="1:22" x14ac:dyDescent="0.3">
      <c r="B28" s="211" t="s">
        <v>641</v>
      </c>
      <c r="C28" s="84"/>
      <c r="D28" s="84"/>
      <c r="E28" s="84"/>
      <c r="F28" s="210">
        <v>0.22</v>
      </c>
    </row>
    <row r="29" spans="1:22" ht="17.25" thickBot="1" x14ac:dyDescent="0.35">
      <c r="B29" s="212" t="s">
        <v>642</v>
      </c>
      <c r="C29" s="98"/>
      <c r="D29" s="98"/>
      <c r="E29" s="98"/>
      <c r="F29" s="213">
        <v>0.44</v>
      </c>
    </row>
    <row r="31" spans="1:22" ht="20.25" x14ac:dyDescent="0.3">
      <c r="A31" s="45" t="s">
        <v>741</v>
      </c>
    </row>
    <row r="32" spans="1:22" ht="17.25" thickBot="1" x14ac:dyDescent="0.35"/>
    <row r="33" spans="2:32" ht="21" thickBot="1" x14ac:dyDescent="0.35">
      <c r="B33" s="591" t="s">
        <v>712</v>
      </c>
      <c r="C33" s="592"/>
      <c r="D33" s="592"/>
      <c r="E33" s="592"/>
      <c r="F33" s="593"/>
      <c r="H33" s="594" t="s">
        <v>666</v>
      </c>
      <c r="I33" s="595"/>
      <c r="J33" s="595"/>
      <c r="K33" s="595"/>
      <c r="L33" s="595"/>
      <c r="M33" s="595"/>
      <c r="N33" s="595"/>
      <c r="O33" s="595"/>
      <c r="P33" s="595"/>
      <c r="Q33" s="595"/>
      <c r="R33" s="595"/>
      <c r="S33" s="596"/>
      <c r="U33" t="s">
        <v>710</v>
      </c>
      <c r="V33" t="s">
        <v>673</v>
      </c>
      <c r="AE33" t="s">
        <v>762</v>
      </c>
    </row>
    <row r="34" spans="2:32" x14ac:dyDescent="0.3">
      <c r="B34" s="218" t="s">
        <v>696</v>
      </c>
      <c r="C34" s="120"/>
      <c r="D34" s="120"/>
      <c r="E34" s="120"/>
      <c r="F34" s="219">
        <f t="shared" ref="F34:F49" si="0">F14*$L$25</f>
        <v>1128243731.8704424</v>
      </c>
      <c r="G34" s="278"/>
      <c r="H34" s="58"/>
      <c r="I34" s="59"/>
      <c r="J34" s="59"/>
      <c r="K34" s="59" t="s">
        <v>659</v>
      </c>
      <c r="L34" s="59"/>
      <c r="M34" s="59" t="s">
        <v>646</v>
      </c>
      <c r="N34" s="59"/>
      <c r="O34" s="59" t="s">
        <v>670</v>
      </c>
      <c r="P34" s="59"/>
      <c r="Q34" s="59" t="s">
        <v>671</v>
      </c>
      <c r="R34" s="59" t="s">
        <v>681</v>
      </c>
      <c r="S34" s="245" t="s">
        <v>682</v>
      </c>
      <c r="U34">
        <v>1</v>
      </c>
      <c r="V34">
        <v>0.45359237000000002</v>
      </c>
      <c r="AD34" t="s">
        <v>630</v>
      </c>
      <c r="AE34" s="283">
        <f>F34/10^6</f>
        <v>1128.2437318704424</v>
      </c>
      <c r="AF34" s="278">
        <v>1128.2437318704424</v>
      </c>
    </row>
    <row r="35" spans="2:32" x14ac:dyDescent="0.3">
      <c r="B35" s="220" t="s">
        <v>628</v>
      </c>
      <c r="C35" s="123"/>
      <c r="D35" s="123"/>
      <c r="E35" s="123"/>
      <c r="F35" s="221">
        <f t="shared" si="0"/>
        <v>805888379.90745878</v>
      </c>
      <c r="G35" s="278"/>
      <c r="H35" s="182" t="s">
        <v>644</v>
      </c>
      <c r="I35" s="43"/>
      <c r="J35" s="43"/>
      <c r="K35" s="43"/>
      <c r="L35" s="43"/>
      <c r="M35" s="43"/>
      <c r="N35" s="43"/>
      <c r="O35" s="43"/>
      <c r="P35" s="43"/>
      <c r="Q35" s="46">
        <f>SUBTOTAL(9,Q36)</f>
        <v>303066278.36371672</v>
      </c>
      <c r="R35" s="46">
        <f>SUBTOTAL(9,R36)</f>
        <v>303066278.36371672</v>
      </c>
      <c r="S35" s="246">
        <f>(R35-Q35)/Q35</f>
        <v>0</v>
      </c>
      <c r="AD35" t="s">
        <v>628</v>
      </c>
      <c r="AE35" s="283">
        <f t="shared" ref="AE35:AE53" si="1">F35/10^6</f>
        <v>805.88837990745878</v>
      </c>
      <c r="AF35" s="278">
        <v>805.88837990745878</v>
      </c>
    </row>
    <row r="36" spans="2:32" x14ac:dyDescent="0.3">
      <c r="B36" s="222" t="s">
        <v>608</v>
      </c>
      <c r="C36" s="123"/>
      <c r="D36" s="123"/>
      <c r="E36" s="123"/>
      <c r="F36" s="221">
        <f t="shared" si="0"/>
        <v>223857883.30762741</v>
      </c>
      <c r="G36" s="278"/>
      <c r="H36" s="177" t="s">
        <v>130</v>
      </c>
      <c r="K36">
        <v>1</v>
      </c>
      <c r="M36">
        <v>3.27</v>
      </c>
      <c r="N36" t="s">
        <v>676</v>
      </c>
      <c r="O36" s="44">
        <f>'Previous_Technical performance'!D72/28.263682*8000</f>
        <v>92680819.071473002</v>
      </c>
      <c r="P36" t="s">
        <v>677</v>
      </c>
      <c r="Q36" s="44">
        <f>O36*M36</f>
        <v>303066278.36371672</v>
      </c>
      <c r="R36" s="44">
        <f>Q36*K36</f>
        <v>303066278.36371672</v>
      </c>
      <c r="S36" s="246">
        <f>(R36-Q36)/Q36</f>
        <v>0</v>
      </c>
      <c r="T36" s="183" t="s">
        <v>683</v>
      </c>
      <c r="AD36" t="s">
        <v>608</v>
      </c>
      <c r="AE36" s="283">
        <f t="shared" si="1"/>
        <v>223.85788330762742</v>
      </c>
      <c r="AF36" s="278">
        <v>223.85788330762742</v>
      </c>
    </row>
    <row r="37" spans="2:32" x14ac:dyDescent="0.3">
      <c r="B37" s="222" t="s">
        <v>631</v>
      </c>
      <c r="C37" s="123"/>
      <c r="D37" s="123"/>
      <c r="E37" s="123"/>
      <c r="F37" s="221">
        <f t="shared" si="0"/>
        <v>105213205.15458487</v>
      </c>
      <c r="G37" s="278"/>
      <c r="H37" s="182" t="s">
        <v>658</v>
      </c>
      <c r="I37" s="43"/>
      <c r="J37" s="43"/>
      <c r="K37" s="43"/>
      <c r="L37" s="43"/>
      <c r="M37" s="43"/>
      <c r="N37" s="43"/>
      <c r="O37" s="46"/>
      <c r="P37" s="43"/>
      <c r="Q37" s="46">
        <f>SUBTOTAL(9,Q38:Q44)</f>
        <v>937217317.55723131</v>
      </c>
      <c r="R37" s="46">
        <f>SUBTOTAL(9,R38:R44)</f>
        <v>937217317.55723131</v>
      </c>
      <c r="S37" s="246">
        <f t="shared" ref="S37:S45" si="2">(R37-Q37)/Q37</f>
        <v>0</v>
      </c>
      <c r="AD37" t="s">
        <v>631</v>
      </c>
      <c r="AE37" s="283">
        <f t="shared" si="1"/>
        <v>105.21320515458487</v>
      </c>
      <c r="AF37" s="278">
        <v>105.21320515458487</v>
      </c>
    </row>
    <row r="38" spans="2:32" x14ac:dyDescent="0.3">
      <c r="B38" s="222" t="s">
        <v>632</v>
      </c>
      <c r="C38" s="123"/>
      <c r="D38" s="123"/>
      <c r="E38" s="123"/>
      <c r="F38" s="221">
        <f t="shared" si="0"/>
        <v>80588837.990745857</v>
      </c>
      <c r="G38" s="278"/>
      <c r="H38" s="177" t="s">
        <v>166</v>
      </c>
      <c r="K38">
        <v>1</v>
      </c>
      <c r="M38">
        <v>40</v>
      </c>
      <c r="N38" t="s">
        <v>662</v>
      </c>
      <c r="O38" s="44">
        <f>'Previous_Technical performance'!E59/1000*8000</f>
        <v>358386.56</v>
      </c>
      <c r="P38" t="s">
        <v>667</v>
      </c>
      <c r="Q38" s="44">
        <f>O38*M38</f>
        <v>14335462.4</v>
      </c>
      <c r="R38" s="44">
        <f t="shared" ref="R38:R44" si="3">Q38*K38</f>
        <v>14335462.4</v>
      </c>
      <c r="S38" s="246">
        <f>(R38-Q38)/Q38</f>
        <v>0</v>
      </c>
      <c r="U38" s="187">
        <f>Q38/10^6</f>
        <v>14.335462400000001</v>
      </c>
      <c r="AD38" t="s">
        <v>632</v>
      </c>
      <c r="AE38" s="283">
        <f t="shared" si="1"/>
        <v>80.588837990745859</v>
      </c>
      <c r="AF38" s="278">
        <v>80.588837990745859</v>
      </c>
    </row>
    <row r="39" spans="2:32" x14ac:dyDescent="0.3">
      <c r="B39" s="222" t="s">
        <v>633</v>
      </c>
      <c r="C39" s="123"/>
      <c r="D39" s="123"/>
      <c r="E39" s="123"/>
      <c r="F39" s="221">
        <f t="shared" si="0"/>
        <v>152223360.64918664</v>
      </c>
      <c r="G39" s="278"/>
      <c r="H39" s="177" t="s">
        <v>592</v>
      </c>
      <c r="K39">
        <v>1</v>
      </c>
      <c r="M39" s="44">
        <v>8.8999999999999995E-6</v>
      </c>
      <c r="N39" t="s">
        <v>173</v>
      </c>
      <c r="O39" s="44">
        <f>'DB_Aspen simulation_previous'!D176*8760</f>
        <v>9695068338.3600006</v>
      </c>
      <c r="P39" t="s">
        <v>668</v>
      </c>
      <c r="Q39" s="44">
        <f>O39*1000*M39</f>
        <v>86286108.211403996</v>
      </c>
      <c r="R39" s="44">
        <f t="shared" si="3"/>
        <v>86286108.211403996</v>
      </c>
      <c r="S39" s="246">
        <f t="shared" si="2"/>
        <v>0</v>
      </c>
      <c r="U39" s="187">
        <f t="shared" ref="U39:U44" si="4">Q39/10^6</f>
        <v>86.286108211403999</v>
      </c>
      <c r="AD39" t="s">
        <v>633</v>
      </c>
      <c r="AE39" s="283">
        <f t="shared" si="1"/>
        <v>152.22336064918665</v>
      </c>
      <c r="AF39" s="278">
        <v>152.22336064918665</v>
      </c>
    </row>
    <row r="40" spans="2:32" x14ac:dyDescent="0.3">
      <c r="B40" s="222" t="s">
        <v>634</v>
      </c>
      <c r="C40" s="123"/>
      <c r="D40" s="123"/>
      <c r="E40" s="123"/>
      <c r="F40" s="221">
        <f t="shared" si="0"/>
        <v>24624367.163839016</v>
      </c>
      <c r="G40" s="278"/>
      <c r="H40" s="177" t="s">
        <v>182</v>
      </c>
      <c r="K40">
        <v>1</v>
      </c>
      <c r="M40">
        <v>6.9000000000000006E-2</v>
      </c>
      <c r="N40" t="s">
        <v>661</v>
      </c>
      <c r="O40" s="44">
        <f>'DB_Aspen simulation_previous'!F177*8760</f>
        <v>8388696888</v>
      </c>
      <c r="P40" t="s">
        <v>653</v>
      </c>
      <c r="Q40" s="44">
        <f>O40*M40</f>
        <v>578820085.27200007</v>
      </c>
      <c r="R40" s="44">
        <f t="shared" si="3"/>
        <v>578820085.27200007</v>
      </c>
      <c r="S40" s="246">
        <f t="shared" si="2"/>
        <v>0</v>
      </c>
      <c r="U40" s="187">
        <f t="shared" si="4"/>
        <v>578.82008527200003</v>
      </c>
      <c r="AD40" t="s">
        <v>634</v>
      </c>
      <c r="AE40" s="283">
        <f t="shared" si="1"/>
        <v>24.624367163839015</v>
      </c>
      <c r="AF40" s="278">
        <v>24.624367163839015</v>
      </c>
    </row>
    <row r="41" spans="2:32" x14ac:dyDescent="0.3">
      <c r="B41" s="222" t="s">
        <v>635</v>
      </c>
      <c r="C41" s="123"/>
      <c r="D41" s="123"/>
      <c r="E41" s="123"/>
      <c r="F41" s="221">
        <f t="shared" si="0"/>
        <v>40294418.995372929</v>
      </c>
      <c r="G41" s="278"/>
      <c r="H41" s="177" t="s">
        <v>184</v>
      </c>
      <c r="K41">
        <v>1</v>
      </c>
      <c r="M41">
        <v>0.03</v>
      </c>
      <c r="N41" t="s">
        <v>662</v>
      </c>
      <c r="O41" s="44">
        <f>'DB_Aspen simulation_previous'!F178/1000*8760</f>
        <v>3396138120</v>
      </c>
      <c r="P41" t="s">
        <v>667</v>
      </c>
      <c r="Q41" s="44">
        <f>O41*M41</f>
        <v>101884143.59999999</v>
      </c>
      <c r="R41" s="44">
        <f t="shared" si="3"/>
        <v>101884143.59999999</v>
      </c>
      <c r="S41" s="246">
        <f t="shared" si="2"/>
        <v>0</v>
      </c>
      <c r="U41" s="187">
        <f t="shared" si="4"/>
        <v>101.88414359999999</v>
      </c>
      <c r="AD41" t="s">
        <v>635</v>
      </c>
      <c r="AE41" s="283">
        <f t="shared" si="1"/>
        <v>40.294418995372929</v>
      </c>
      <c r="AF41" s="278">
        <v>40.294418995372929</v>
      </c>
    </row>
    <row r="42" spans="2:32" x14ac:dyDescent="0.3">
      <c r="B42" s="222" t="s">
        <v>636</v>
      </c>
      <c r="C42" s="123"/>
      <c r="D42" s="123"/>
      <c r="E42" s="123"/>
      <c r="F42" s="221">
        <f t="shared" si="0"/>
        <v>22385788.330762744</v>
      </c>
      <c r="G42" s="278"/>
      <c r="H42" s="177" t="s">
        <v>594</v>
      </c>
      <c r="K42">
        <v>1</v>
      </c>
      <c r="M42">
        <v>14.5</v>
      </c>
      <c r="N42" t="s">
        <v>662</v>
      </c>
      <c r="O42" s="44">
        <f>'DB_Aspen simulation_previous'!F180/1000*8760</f>
        <v>39471.946800000005</v>
      </c>
      <c r="P42" t="s">
        <v>667</v>
      </c>
      <c r="Q42" s="44">
        <f>O42*M42</f>
        <v>572343.22860000003</v>
      </c>
      <c r="R42" s="44">
        <f t="shared" si="3"/>
        <v>572343.22860000003</v>
      </c>
      <c r="S42" s="246">
        <f t="shared" si="2"/>
        <v>0</v>
      </c>
      <c r="U42" s="187">
        <f t="shared" si="4"/>
        <v>0.57234322860000009</v>
      </c>
      <c r="AD42" t="s">
        <v>636</v>
      </c>
      <c r="AE42" s="283">
        <f t="shared" si="1"/>
        <v>22.385788330762743</v>
      </c>
      <c r="AF42" s="278">
        <v>22.385788330762743</v>
      </c>
    </row>
    <row r="43" spans="2:32" x14ac:dyDescent="0.3">
      <c r="B43" s="222" t="s">
        <v>637</v>
      </c>
      <c r="C43" s="123"/>
      <c r="D43" s="123"/>
      <c r="E43" s="123"/>
      <c r="F43" s="221">
        <f t="shared" si="0"/>
        <v>156700518.31533918</v>
      </c>
      <c r="G43" s="278"/>
      <c r="H43" s="177" t="s">
        <v>595</v>
      </c>
      <c r="K43">
        <v>1</v>
      </c>
      <c r="M43">
        <v>10.5</v>
      </c>
      <c r="N43" t="s">
        <v>662</v>
      </c>
      <c r="O43" s="44">
        <f>'DB_Aspen simulation_previous'!F181/1000*8760</f>
        <v>1147958.58</v>
      </c>
      <c r="P43" t="s">
        <v>667</v>
      </c>
      <c r="Q43" s="44">
        <f>O43*M43</f>
        <v>12053565.09</v>
      </c>
      <c r="R43" s="44">
        <f t="shared" si="3"/>
        <v>12053565.09</v>
      </c>
      <c r="S43" s="246">
        <f t="shared" si="2"/>
        <v>0</v>
      </c>
      <c r="U43" s="187">
        <f t="shared" si="4"/>
        <v>12.053565089999999</v>
      </c>
      <c r="AD43" t="s">
        <v>637</v>
      </c>
      <c r="AE43" s="283">
        <f t="shared" si="1"/>
        <v>156.70051831533917</v>
      </c>
      <c r="AF43" s="278">
        <v>156.70051831533917</v>
      </c>
    </row>
    <row r="44" spans="2:32" x14ac:dyDescent="0.3">
      <c r="B44" s="220" t="s">
        <v>629</v>
      </c>
      <c r="C44" s="123"/>
      <c r="D44" s="123"/>
      <c r="E44" s="123"/>
      <c r="F44" s="221">
        <f t="shared" si="0"/>
        <v>322355351.96298343</v>
      </c>
      <c r="G44" s="278"/>
      <c r="H44" s="177" t="s">
        <v>701</v>
      </c>
      <c r="K44">
        <v>1</v>
      </c>
      <c r="M44" s="180">
        <f>M36</f>
        <v>3.27</v>
      </c>
      <c r="N44" t="s">
        <v>676</v>
      </c>
      <c r="O44" s="44">
        <f>'DB_Aspen simulation_previous'!D179/1055/0.85*8760</f>
        <v>43812113.074993029</v>
      </c>
      <c r="P44" t="s">
        <v>677</v>
      </c>
      <c r="Q44" s="44">
        <f>O44*M44</f>
        <v>143265609.75522721</v>
      </c>
      <c r="R44" s="44">
        <f t="shared" si="3"/>
        <v>143265609.75522721</v>
      </c>
      <c r="S44" s="246">
        <f t="shared" si="2"/>
        <v>0</v>
      </c>
      <c r="T44" s="183" t="s">
        <v>707</v>
      </c>
      <c r="U44" s="187">
        <f t="shared" si="4"/>
        <v>143.26560975522722</v>
      </c>
      <c r="AD44" t="s">
        <v>629</v>
      </c>
      <c r="AE44" s="283">
        <f t="shared" si="1"/>
        <v>322.35535196298343</v>
      </c>
      <c r="AF44" s="278">
        <v>322.35535196298343</v>
      </c>
    </row>
    <row r="45" spans="2:32" ht="17.25" thickBot="1" x14ac:dyDescent="0.35">
      <c r="B45" s="222" t="s">
        <v>638</v>
      </c>
      <c r="C45" s="123"/>
      <c r="D45" s="123"/>
      <c r="E45" s="123"/>
      <c r="F45" s="221">
        <f t="shared" si="0"/>
        <v>73873101.491517052</v>
      </c>
      <c r="G45" s="278"/>
      <c r="H45" s="198" t="s">
        <v>614</v>
      </c>
      <c r="I45" s="178"/>
      <c r="J45" s="178"/>
      <c r="K45" s="178"/>
      <c r="L45" s="178"/>
      <c r="M45" s="178"/>
      <c r="N45" s="178"/>
      <c r="O45" s="178"/>
      <c r="P45" s="178"/>
      <c r="Q45" s="179">
        <f>SUBTOTAL(9,Q35:Q43)</f>
        <v>1097017986.1657207</v>
      </c>
      <c r="R45" s="179">
        <f>SUBTOTAL(9,R35:R43)</f>
        <v>1097017986.1657207</v>
      </c>
      <c r="S45" s="247">
        <f t="shared" si="2"/>
        <v>0</v>
      </c>
      <c r="AD45" t="s">
        <v>638</v>
      </c>
      <c r="AE45" s="283">
        <f t="shared" si="1"/>
        <v>73.873101491517048</v>
      </c>
      <c r="AF45" s="278">
        <v>73.873101491517048</v>
      </c>
    </row>
    <row r="46" spans="2:32" ht="17.25" thickBot="1" x14ac:dyDescent="0.35">
      <c r="B46" s="222" t="s">
        <v>639</v>
      </c>
      <c r="C46" s="123"/>
      <c r="D46" s="123"/>
      <c r="E46" s="123"/>
      <c r="F46" s="221">
        <f t="shared" si="0"/>
        <v>91781732.156127229</v>
      </c>
      <c r="G46" s="278"/>
      <c r="AD46" t="s">
        <v>639</v>
      </c>
      <c r="AE46" s="283">
        <f t="shared" si="1"/>
        <v>91.781732156127234</v>
      </c>
      <c r="AF46" s="278">
        <v>91.781732156127234</v>
      </c>
    </row>
    <row r="47" spans="2:32" ht="17.25" thickBot="1" x14ac:dyDescent="0.35">
      <c r="B47" s="222" t="s">
        <v>640</v>
      </c>
      <c r="C47" s="123"/>
      <c r="D47" s="123"/>
      <c r="E47" s="123"/>
      <c r="F47" s="221">
        <f t="shared" si="0"/>
        <v>8954315.3323050961</v>
      </c>
      <c r="G47" s="278"/>
      <c r="H47" s="597" t="s">
        <v>680</v>
      </c>
      <c r="I47" s="598"/>
      <c r="J47" s="598"/>
      <c r="K47" s="598"/>
      <c r="L47" s="598"/>
      <c r="M47" s="599"/>
      <c r="AD47" t="s">
        <v>640</v>
      </c>
      <c r="AE47" s="283">
        <f t="shared" si="1"/>
        <v>8.9543153323050966</v>
      </c>
      <c r="AF47" s="278">
        <v>8.9543153323050966</v>
      </c>
    </row>
    <row r="48" spans="2:32" x14ac:dyDescent="0.3">
      <c r="B48" s="222" t="s">
        <v>641</v>
      </c>
      <c r="C48" s="123"/>
      <c r="D48" s="123"/>
      <c r="E48" s="123"/>
      <c r="F48" s="221">
        <f t="shared" si="0"/>
        <v>49248734.327678032</v>
      </c>
      <c r="G48" s="278"/>
      <c r="H48" s="169" t="s">
        <v>675</v>
      </c>
      <c r="I48" s="170"/>
      <c r="J48" s="170"/>
      <c r="K48" s="170"/>
      <c r="L48" s="170"/>
      <c r="M48" s="171">
        <f>F34</f>
        <v>1128243731.8704424</v>
      </c>
      <c r="P48" s="44">
        <f>13.11/10^6</f>
        <v>1.311E-5</v>
      </c>
      <c r="AD48" t="s">
        <v>641</v>
      </c>
      <c r="AE48" s="283">
        <f t="shared" si="1"/>
        <v>49.248734327678029</v>
      </c>
      <c r="AF48" s="278">
        <v>49.248734327678029</v>
      </c>
    </row>
    <row r="49" spans="2:32" x14ac:dyDescent="0.3">
      <c r="B49" s="222" t="s">
        <v>642</v>
      </c>
      <c r="C49" s="123"/>
      <c r="D49" s="123"/>
      <c r="E49" s="123"/>
      <c r="F49" s="221">
        <f t="shared" si="0"/>
        <v>98497468.655356064</v>
      </c>
      <c r="G49" s="278"/>
      <c r="H49" s="172" t="s">
        <v>663</v>
      </c>
      <c r="M49" s="173">
        <v>0.08</v>
      </c>
      <c r="AD49" t="s">
        <v>642</v>
      </c>
      <c r="AE49" s="283">
        <f t="shared" si="1"/>
        <v>98.497468655356059</v>
      </c>
      <c r="AF49" s="278">
        <v>98.497468655356059</v>
      </c>
    </row>
    <row r="50" spans="2:32" x14ac:dyDescent="0.3">
      <c r="B50" s="223" t="s">
        <v>643</v>
      </c>
      <c r="C50" s="123"/>
      <c r="D50" s="123"/>
      <c r="E50" s="123"/>
      <c r="F50" s="224">
        <f>SUBTOTAL(9,F51:F59)</f>
        <v>1273992967.0509481</v>
      </c>
      <c r="G50" s="278"/>
      <c r="H50" s="172" t="s">
        <v>664</v>
      </c>
      <c r="M50" s="174">
        <f>30*1</f>
        <v>30</v>
      </c>
      <c r="O50" s="214"/>
      <c r="T50" s="44"/>
      <c r="AD50" t="s">
        <v>643</v>
      </c>
      <c r="AE50" s="283">
        <f t="shared" si="1"/>
        <v>1273.9929670509482</v>
      </c>
      <c r="AF50" s="278">
        <v>1193.9255914893618</v>
      </c>
    </row>
    <row r="51" spans="2:32" x14ac:dyDescent="0.3">
      <c r="B51" s="225" t="s">
        <v>655</v>
      </c>
      <c r="C51" s="123"/>
      <c r="D51" s="123"/>
      <c r="E51" s="123"/>
      <c r="F51" s="221">
        <f>SUBTOTAL(9,F52:F53)</f>
        <v>1240283595.920948</v>
      </c>
      <c r="G51" s="278"/>
      <c r="H51" s="172" t="s">
        <v>708</v>
      </c>
      <c r="M51" s="175">
        <f>POWER(1+M49,M50)</f>
        <v>10.062656889073445</v>
      </c>
      <c r="AD51" t="s">
        <v>655</v>
      </c>
      <c r="AE51" s="283">
        <f t="shared" si="1"/>
        <v>1240.2835959209481</v>
      </c>
      <c r="AF51" s="278">
        <v>1160.2162203593616</v>
      </c>
    </row>
    <row r="52" spans="2:32" x14ac:dyDescent="0.3">
      <c r="B52" s="222" t="s">
        <v>644</v>
      </c>
      <c r="C52" s="123"/>
      <c r="D52" s="123"/>
      <c r="E52" s="123"/>
      <c r="F52" s="221">
        <f>R35</f>
        <v>303066278.36371672</v>
      </c>
      <c r="G52" s="278"/>
      <c r="H52" s="172" t="s">
        <v>665</v>
      </c>
      <c r="M52" s="175">
        <f>M49*M51/(M51-1)</f>
        <v>8.8827433387272267E-2</v>
      </c>
      <c r="AD52" t="s">
        <v>644</v>
      </c>
      <c r="AE52" s="283">
        <f t="shared" si="1"/>
        <v>303.06627836371672</v>
      </c>
      <c r="AF52" s="278">
        <v>303.06627836371672</v>
      </c>
    </row>
    <row r="53" spans="2:32" x14ac:dyDescent="0.3">
      <c r="B53" s="222" t="s">
        <v>645</v>
      </c>
      <c r="C53" s="123"/>
      <c r="D53" s="123"/>
      <c r="E53" s="123"/>
      <c r="F53" s="221">
        <f>R37</f>
        <v>937217317.55723131</v>
      </c>
      <c r="G53" s="278"/>
      <c r="H53" s="172" t="s">
        <v>739</v>
      </c>
      <c r="M53" s="196">
        <f>M48*M52</f>
        <v>100218994.93732919</v>
      </c>
      <c r="AD53" t="s">
        <v>645</v>
      </c>
      <c r="AE53" s="283">
        <f t="shared" si="1"/>
        <v>937.21731755723135</v>
      </c>
      <c r="AF53" s="278">
        <v>857.14994199564489</v>
      </c>
    </row>
    <row r="54" spans="2:32" ht="17.25" thickBot="1" x14ac:dyDescent="0.35">
      <c r="B54" s="201" t="s">
        <v>656</v>
      </c>
      <c r="C54" s="123"/>
      <c r="D54" s="123"/>
      <c r="E54" s="123"/>
      <c r="F54" s="221">
        <f>SUBTOTAL(9,F55:F59)</f>
        <v>33709371.129999995</v>
      </c>
      <c r="G54" s="278"/>
      <c r="H54" s="176" t="s">
        <v>690</v>
      </c>
      <c r="I54" s="75"/>
      <c r="J54" s="75"/>
      <c r="K54" s="75"/>
      <c r="L54" s="75"/>
      <c r="M54" s="197">
        <f>35%*1</f>
        <v>0.35</v>
      </c>
      <c r="AD54" s="281" t="s">
        <v>166</v>
      </c>
      <c r="AE54" s="283">
        <f>Q38/10^6</f>
        <v>14.335462400000001</v>
      </c>
      <c r="AF54" s="278">
        <v>14.335462400000001</v>
      </c>
    </row>
    <row r="55" spans="2:32" ht="17.25" thickBot="1" x14ac:dyDescent="0.35">
      <c r="B55" s="226" t="s">
        <v>609</v>
      </c>
      <c r="C55" s="123"/>
      <c r="D55" s="123"/>
      <c r="E55" s="123"/>
      <c r="F55" s="221">
        <v>760000</v>
      </c>
      <c r="G55" s="278"/>
      <c r="AD55" s="281" t="s">
        <v>592</v>
      </c>
      <c r="AE55" s="283">
        <f t="shared" ref="AE55:AE60" si="5">Q39/10^6</f>
        <v>86.286108211403999</v>
      </c>
      <c r="AF55" s="278">
        <v>78.800098823200017</v>
      </c>
    </row>
    <row r="56" spans="2:32" x14ac:dyDescent="0.3">
      <c r="B56" s="226" t="s">
        <v>610</v>
      </c>
      <c r="C56" s="123"/>
      <c r="D56" s="123"/>
      <c r="E56" s="123"/>
      <c r="F56" s="221">
        <v>1980000</v>
      </c>
      <c r="G56" s="278"/>
      <c r="H56" s="184" t="s">
        <v>739</v>
      </c>
      <c r="I56" s="185"/>
      <c r="J56" s="185"/>
      <c r="K56" s="185"/>
      <c r="L56" s="185"/>
      <c r="M56" s="186">
        <f>M53</f>
        <v>100218994.93732919</v>
      </c>
      <c r="AD56" s="281" t="s">
        <v>182</v>
      </c>
      <c r="AE56" s="283">
        <f t="shared" si="5"/>
        <v>578.82008527200003</v>
      </c>
      <c r="AF56" s="278">
        <v>528.60281759999998</v>
      </c>
    </row>
    <row r="57" spans="2:32" x14ac:dyDescent="0.3">
      <c r="B57" s="226" t="s">
        <v>611</v>
      </c>
      <c r="C57" s="123"/>
      <c r="D57" s="123"/>
      <c r="E57" s="123"/>
      <c r="F57" s="221">
        <v>190000</v>
      </c>
      <c r="G57" s="278"/>
      <c r="H57" s="61" t="s">
        <v>685</v>
      </c>
      <c r="M57" s="181">
        <f>M48/M50</f>
        <v>37608124.395681411</v>
      </c>
      <c r="R57" s="82" t="s">
        <v>734</v>
      </c>
      <c r="AD57" s="281" t="s">
        <v>184</v>
      </c>
      <c r="AE57" s="283">
        <f t="shared" si="5"/>
        <v>101.88414359999999</v>
      </c>
      <c r="AF57" s="278">
        <v>93.044880000000006</v>
      </c>
    </row>
    <row r="58" spans="2:32" x14ac:dyDescent="0.3">
      <c r="B58" s="226" t="s">
        <v>612</v>
      </c>
      <c r="C58" s="123"/>
      <c r="D58" s="123"/>
      <c r="E58" s="123"/>
      <c r="F58" s="221">
        <v>1370000</v>
      </c>
      <c r="G58" s="278"/>
      <c r="H58" s="61" t="s">
        <v>686</v>
      </c>
      <c r="M58" s="181">
        <f>(M60-M57)*M54</f>
        <v>33713545.676271841</v>
      </c>
      <c r="R58" s="168">
        <f>S67/$S$65</f>
        <v>0.36974698196148764</v>
      </c>
      <c r="AD58" s="281" t="s">
        <v>594</v>
      </c>
      <c r="AE58" s="283">
        <f t="shared" si="5"/>
        <v>0.57234322860000009</v>
      </c>
      <c r="AF58" s="278">
        <v>0.52268787999999999</v>
      </c>
    </row>
    <row r="59" spans="2:32" x14ac:dyDescent="0.3">
      <c r="B59" s="226" t="s">
        <v>613</v>
      </c>
      <c r="C59" s="123"/>
      <c r="D59" s="123"/>
      <c r="E59" s="123"/>
      <c r="F59" s="221">
        <v>29409371.129999999</v>
      </c>
      <c r="G59" s="278"/>
      <c r="H59" s="61" t="s">
        <v>687</v>
      </c>
      <c r="M59" s="181">
        <f>M60-M58</f>
        <v>100218994.93732913</v>
      </c>
      <c r="R59" s="168">
        <f>S69/$S$65</f>
        <v>1.2596046752206871E-2</v>
      </c>
      <c r="AD59" s="281" t="s">
        <v>595</v>
      </c>
      <c r="AE59" s="283">
        <f t="shared" si="5"/>
        <v>12.053565089999999</v>
      </c>
      <c r="AF59" s="278">
        <v>11.007822000000001</v>
      </c>
    </row>
    <row r="60" spans="2:32" x14ac:dyDescent="0.3">
      <c r="B60" s="124" t="s">
        <v>691</v>
      </c>
      <c r="C60" s="123"/>
      <c r="D60" s="123"/>
      <c r="E60" s="123"/>
      <c r="F60" s="221">
        <f>M56</f>
        <v>100218994.93732919</v>
      </c>
      <c r="G60" s="278"/>
      <c r="H60" s="61" t="s">
        <v>688</v>
      </c>
      <c r="M60" s="181">
        <f>M62-M61</f>
        <v>133932540.61360097</v>
      </c>
      <c r="R60" s="168">
        <f>S70/$S$65</f>
        <v>4.3342550964062462E-2</v>
      </c>
      <c r="AD60" s="281" t="s">
        <v>701</v>
      </c>
      <c r="AE60" s="283">
        <f t="shared" si="5"/>
        <v>143.26560975522722</v>
      </c>
      <c r="AF60" s="278">
        <v>130.83617329244501</v>
      </c>
    </row>
    <row r="61" spans="2:32" x14ac:dyDescent="0.3">
      <c r="B61" s="124" t="s">
        <v>692</v>
      </c>
      <c r="C61" s="123"/>
      <c r="D61" s="123"/>
      <c r="E61" s="123"/>
      <c r="F61" s="221">
        <f>M57</f>
        <v>37608124.395681411</v>
      </c>
      <c r="G61" s="278"/>
      <c r="H61" s="61" t="s">
        <v>689</v>
      </c>
      <c r="M61" s="181">
        <f>F50</f>
        <v>1273992967.0509481</v>
      </c>
      <c r="R61" s="168">
        <f>S68/$S$65</f>
        <v>0.2659218609502228</v>
      </c>
      <c r="AD61" t="s">
        <v>656</v>
      </c>
      <c r="AE61" s="283">
        <f>F54/10^6</f>
        <v>33.709371129999994</v>
      </c>
      <c r="AF61" s="278">
        <v>33.709371129999994</v>
      </c>
    </row>
    <row r="62" spans="2:32" ht="17.25" thickBot="1" x14ac:dyDescent="0.35">
      <c r="B62" s="124" t="s">
        <v>693</v>
      </c>
      <c r="C62" s="123"/>
      <c r="D62" s="123"/>
      <c r="E62" s="123"/>
      <c r="F62" s="221">
        <f>M58</f>
        <v>33713545.676271841</v>
      </c>
      <c r="G62" s="278"/>
      <c r="H62" s="188" t="s">
        <v>809</v>
      </c>
      <c r="I62" s="75"/>
      <c r="J62" s="75"/>
      <c r="K62" s="75"/>
      <c r="L62" s="75"/>
      <c r="M62" s="189">
        <f>(M56-M54*M57+(1-M54)*M61)/(1-M54)</f>
        <v>1407925507.6645491</v>
      </c>
      <c r="R62" s="168">
        <f>S66/$S$65</f>
        <v>0.35173511033608273</v>
      </c>
      <c r="AD62" t="s">
        <v>739</v>
      </c>
      <c r="AE62" s="283">
        <f>F60/10^6</f>
        <v>100.21899493732919</v>
      </c>
      <c r="AF62" s="278">
        <v>100.21899493732919</v>
      </c>
    </row>
    <row r="63" spans="2:32" ht="17.25" thickBot="1" x14ac:dyDescent="0.35">
      <c r="B63" s="124" t="s">
        <v>678</v>
      </c>
      <c r="C63" s="123"/>
      <c r="D63" s="123"/>
      <c r="E63" s="123"/>
      <c r="F63" s="221">
        <f>M60</f>
        <v>133932540.61360097</v>
      </c>
      <c r="G63" s="278"/>
      <c r="H63" s="170" t="s">
        <v>617</v>
      </c>
      <c r="AD63" s="49" t="s">
        <v>766</v>
      </c>
      <c r="AE63" s="282">
        <f>M62/10^6</f>
        <v>1407.9255076645491</v>
      </c>
      <c r="AF63" s="278">
        <v>1327.8581321029628</v>
      </c>
    </row>
    <row r="64" spans="2:32" ht="17.25" thickBot="1" x14ac:dyDescent="0.35">
      <c r="B64" s="124" t="s">
        <v>694</v>
      </c>
      <c r="C64" s="123"/>
      <c r="D64" s="123"/>
      <c r="E64" s="123"/>
      <c r="F64" s="221">
        <f>M61</f>
        <v>1273992967.0509481</v>
      </c>
      <c r="G64" s="278"/>
      <c r="H64" s="583" t="s">
        <v>706</v>
      </c>
      <c r="I64" s="584"/>
      <c r="J64" s="584"/>
      <c r="K64" s="584"/>
      <c r="L64" s="584"/>
      <c r="M64" s="584"/>
      <c r="N64" s="584"/>
      <c r="O64" s="584"/>
      <c r="P64" s="584"/>
      <c r="Q64" s="584"/>
      <c r="R64" s="584"/>
      <c r="S64" s="584"/>
      <c r="T64" s="585"/>
      <c r="AD64" t="s">
        <v>618</v>
      </c>
      <c r="AE64" s="278">
        <f>AG81</f>
        <v>433.03511113264403</v>
      </c>
      <c r="AF64" s="278">
        <v>433.03511113264403</v>
      </c>
    </row>
    <row r="65" spans="2:33" x14ac:dyDescent="0.3">
      <c r="B65" s="227" t="s">
        <v>697</v>
      </c>
      <c r="C65" s="228"/>
      <c r="D65" s="228"/>
      <c r="E65" s="228"/>
      <c r="F65" s="224">
        <f>M62</f>
        <v>1407925507.6645491</v>
      </c>
      <c r="G65" s="278"/>
      <c r="H65" s="232" t="s">
        <v>672</v>
      </c>
      <c r="I65" s="233"/>
      <c r="J65" s="233"/>
      <c r="K65" s="233" t="s">
        <v>646</v>
      </c>
      <c r="L65" s="233"/>
      <c r="M65" s="233" t="s">
        <v>670</v>
      </c>
      <c r="N65" s="233"/>
      <c r="O65" s="233"/>
      <c r="P65" s="233"/>
      <c r="Q65" s="233" t="s">
        <v>705</v>
      </c>
      <c r="R65" s="120"/>
      <c r="S65" s="242">
        <f>SUM(S66:S69)</f>
        <v>1349.4374463723416</v>
      </c>
      <c r="T65" s="234"/>
      <c r="U65" s="183" t="s">
        <v>698</v>
      </c>
      <c r="AD65" t="s">
        <v>625</v>
      </c>
      <c r="AE65" s="278">
        <f>AG77</f>
        <v>498.95042314199014</v>
      </c>
      <c r="AF65" s="278">
        <v>498.95042314199014</v>
      </c>
    </row>
    <row r="66" spans="2:33" x14ac:dyDescent="0.3">
      <c r="B66" s="124"/>
      <c r="C66" s="229" t="s">
        <v>625</v>
      </c>
      <c r="D66" s="123"/>
      <c r="E66" s="123"/>
      <c r="F66" s="221">
        <f>Q67</f>
        <v>498950423.14199013</v>
      </c>
      <c r="G66" s="278"/>
      <c r="H66" s="235" t="s">
        <v>618</v>
      </c>
      <c r="I66" s="123"/>
      <c r="J66" s="123"/>
      <c r="K66" s="284">
        <f>(M62-Q67+37.031/1000*M70+37.031/1000*0.5/0.65*M69)/((0.65*M68+M66)+M70*0.695+M69*0.5/0.65*0.695)</f>
        <v>0.9747468467920154</v>
      </c>
      <c r="L66" s="123" t="s">
        <v>660</v>
      </c>
      <c r="M66" s="237">
        <f>'Previous_Technical performance'!H59*8000</f>
        <v>486941333.18155122</v>
      </c>
      <c r="N66" s="123" t="s">
        <v>673</v>
      </c>
      <c r="O66" s="238">
        <f>M66/10^6</f>
        <v>486.94133318155122</v>
      </c>
      <c r="P66" s="123" t="s">
        <v>674</v>
      </c>
      <c r="Q66" s="237">
        <f>M66*K66</f>
        <v>474644529.09141725</v>
      </c>
      <c r="R66" s="123" t="s">
        <v>679</v>
      </c>
      <c r="S66" s="243">
        <f>Q66/10^6</f>
        <v>474.64452909141727</v>
      </c>
      <c r="T66" s="126" t="s">
        <v>731</v>
      </c>
      <c r="U66" s="183" t="s">
        <v>695</v>
      </c>
      <c r="AD66" t="s">
        <v>715</v>
      </c>
      <c r="AE66" s="278">
        <f>AG80</f>
        <v>327.3870001182143</v>
      </c>
      <c r="AF66" s="278">
        <v>327.3870001182143</v>
      </c>
    </row>
    <row r="67" spans="2:33" x14ac:dyDescent="0.3">
      <c r="B67" s="140"/>
      <c r="C67" s="229" t="s">
        <v>684</v>
      </c>
      <c r="D67" s="123"/>
      <c r="E67" s="123"/>
      <c r="F67" s="221">
        <f>Q69</f>
        <v>16997577.163684666</v>
      </c>
      <c r="G67" s="278"/>
      <c r="H67" s="235" t="s">
        <v>625</v>
      </c>
      <c r="I67" s="123"/>
      <c r="J67" s="123"/>
      <c r="K67" s="236">
        <f>0.1515*M36+0.9287</f>
        <v>1.424105</v>
      </c>
      <c r="L67" s="123" t="s">
        <v>660</v>
      </c>
      <c r="M67" s="237">
        <f>'Previous_Technical performance'!L59*8000</f>
        <v>350360698.92458081</v>
      </c>
      <c r="N67" s="123" t="s">
        <v>673</v>
      </c>
      <c r="O67" s="238">
        <f>M67/10^6</f>
        <v>350.36069892458079</v>
      </c>
      <c r="P67" s="123" t="s">
        <v>674</v>
      </c>
      <c r="Q67" s="237">
        <f>M67*K67</f>
        <v>498950423.14199013</v>
      </c>
      <c r="R67" s="123" t="s">
        <v>679</v>
      </c>
      <c r="S67" s="243">
        <f>Q67/10^6</f>
        <v>498.95042314199014</v>
      </c>
      <c r="T67" s="126" t="s">
        <v>731</v>
      </c>
      <c r="U67" s="183" t="s">
        <v>713</v>
      </c>
      <c r="AD67" t="s">
        <v>684</v>
      </c>
      <c r="AE67" s="280">
        <f>AG78</f>
        <v>15.421333852252342</v>
      </c>
      <c r="AF67" s="278">
        <v>15.421333852252342</v>
      </c>
    </row>
    <row r="68" spans="2:33" x14ac:dyDescent="0.3">
      <c r="B68" s="140"/>
      <c r="C68" s="229" t="s">
        <v>621</v>
      </c>
      <c r="D68" s="123"/>
      <c r="E68" s="123"/>
      <c r="F68" s="221">
        <f>Q70</f>
        <v>58488061.292207517</v>
      </c>
      <c r="G68" s="278"/>
      <c r="H68" s="235" t="s">
        <v>715</v>
      </c>
      <c r="I68" s="123"/>
      <c r="J68" s="123"/>
      <c r="K68" s="236">
        <f>K66*0.65</f>
        <v>0.63358545041481007</v>
      </c>
      <c r="L68" s="123" t="s">
        <v>660</v>
      </c>
      <c r="M68" s="237">
        <f>'Previous_Technical performance'!I59*8000</f>
        <v>566371776.27786875</v>
      </c>
      <c r="N68" s="123" t="s">
        <v>673</v>
      </c>
      <c r="O68" s="238">
        <f>M68/10^6</f>
        <v>566.37177627786878</v>
      </c>
      <c r="P68" s="123" t="s">
        <v>674</v>
      </c>
      <c r="Q68" s="237">
        <f>M68*K68</f>
        <v>358844916.97524953</v>
      </c>
      <c r="R68" s="123" t="s">
        <v>679</v>
      </c>
      <c r="S68" s="243">
        <f>Q68/10^6</f>
        <v>358.84491697524953</v>
      </c>
      <c r="T68" s="126" t="s">
        <v>731</v>
      </c>
      <c r="U68" s="183" t="s">
        <v>714</v>
      </c>
      <c r="AD68" t="s">
        <v>621</v>
      </c>
      <c r="AE68" s="280">
        <f>AG79</f>
        <v>53.064263857861818</v>
      </c>
      <c r="AF68" s="278">
        <v>53.064263857861818</v>
      </c>
    </row>
    <row r="69" spans="2:33" x14ac:dyDescent="0.3">
      <c r="B69" s="140"/>
      <c r="C69" s="229" t="s">
        <v>715</v>
      </c>
      <c r="D69" s="123"/>
      <c r="E69" s="123"/>
      <c r="F69" s="221">
        <f>Q68</f>
        <v>358844916.97524953</v>
      </c>
      <c r="G69" s="278"/>
      <c r="H69" s="235" t="s">
        <v>684</v>
      </c>
      <c r="I69" s="123"/>
      <c r="J69" s="123"/>
      <c r="K69" s="236">
        <f>K70*0.5/0.65</f>
        <v>0.49262927578496202</v>
      </c>
      <c r="L69" s="123" t="s">
        <v>660</v>
      </c>
      <c r="M69" s="237">
        <f>'Previous_Technical performance'!J59*8000</f>
        <v>34503790.170814559</v>
      </c>
      <c r="N69" s="123" t="s">
        <v>673</v>
      </c>
      <c r="O69" s="238">
        <f>M69/10^6</f>
        <v>34.503790170814561</v>
      </c>
      <c r="P69" s="123" t="s">
        <v>674</v>
      </c>
      <c r="Q69" s="237">
        <f>M69*K69</f>
        <v>16997577.163684666</v>
      </c>
      <c r="R69" s="123" t="s">
        <v>679</v>
      </c>
      <c r="S69" s="243">
        <f>Q69/10^6</f>
        <v>16.997577163684667</v>
      </c>
      <c r="T69" s="126" t="s">
        <v>731</v>
      </c>
    </row>
    <row r="70" spans="2:33" ht="17.25" thickBot="1" x14ac:dyDescent="0.35">
      <c r="B70" s="230"/>
      <c r="C70" s="231" t="s">
        <v>618</v>
      </c>
      <c r="D70" s="122"/>
      <c r="E70" s="122"/>
      <c r="F70" s="193">
        <f>Q66</f>
        <v>474644529.09141725</v>
      </c>
      <c r="G70" s="278"/>
      <c r="H70" s="239" t="s">
        <v>621</v>
      </c>
      <c r="I70" s="122"/>
      <c r="J70" s="122"/>
      <c r="K70" s="285">
        <f>0.695*K66-37.031/1000</f>
        <v>0.64041805852045064</v>
      </c>
      <c r="L70" s="122" t="s">
        <v>660</v>
      </c>
      <c r="M70" s="240">
        <f>'Previous_Technical performance'!K59*8000</f>
        <v>91327938.858144805</v>
      </c>
      <c r="N70" s="122" t="s">
        <v>673</v>
      </c>
      <c r="O70" s="241">
        <f>M70/10^6</f>
        <v>91.327938858144805</v>
      </c>
      <c r="P70" s="122" t="s">
        <v>674</v>
      </c>
      <c r="Q70" s="240">
        <f>M70*K70</f>
        <v>58488061.292207517</v>
      </c>
      <c r="R70" s="122" t="s">
        <v>679</v>
      </c>
      <c r="S70" s="244">
        <f>Q70/10^6</f>
        <v>58.488061292207519</v>
      </c>
      <c r="T70" s="128" t="s">
        <v>731</v>
      </c>
    </row>
    <row r="71" spans="2:33" x14ac:dyDescent="0.3">
      <c r="F71" s="195"/>
    </row>
    <row r="72" spans="2:33" ht="17.25" thickBot="1" x14ac:dyDescent="0.35"/>
    <row r="73" spans="2:33" ht="17.25" thickBot="1" x14ac:dyDescent="0.35">
      <c r="D73" s="272"/>
      <c r="E73" s="275" t="s">
        <v>737</v>
      </c>
      <c r="F73" s="276" t="s">
        <v>738</v>
      </c>
    </row>
    <row r="74" spans="2:33" x14ac:dyDescent="0.3">
      <c r="D74" s="113" t="s">
        <v>753</v>
      </c>
      <c r="E74" s="273"/>
      <c r="F74" s="115">
        <f>(F35/F34)*M56/M62</f>
        <v>5.0844306743579738E-2</v>
      </c>
    </row>
    <row r="75" spans="2:33" x14ac:dyDescent="0.3">
      <c r="D75" s="113" t="s">
        <v>754</v>
      </c>
      <c r="E75" s="273"/>
      <c r="F75" s="115">
        <f>(F44/F34)*M56/M62</f>
        <v>2.0337722697431889E-2</v>
      </c>
    </row>
    <row r="76" spans="2:33" x14ac:dyDescent="0.3">
      <c r="D76" s="113" t="s">
        <v>755</v>
      </c>
      <c r="E76" s="273"/>
      <c r="F76" s="115">
        <f>F51/M62</f>
        <v>0.88092984264367535</v>
      </c>
      <c r="AE76" t="s">
        <v>763</v>
      </c>
      <c r="AF76" t="s">
        <v>764</v>
      </c>
      <c r="AG76" t="s">
        <v>765</v>
      </c>
    </row>
    <row r="77" spans="2:33" x14ac:dyDescent="0.3">
      <c r="D77" s="113" t="s">
        <v>756</v>
      </c>
      <c r="E77" s="273"/>
      <c r="F77" s="115">
        <f>F54/M62</f>
        <v>2.3942581440914951E-2</v>
      </c>
      <c r="AD77" t="s">
        <v>625</v>
      </c>
      <c r="AE77" s="278">
        <v>350.36069892458079</v>
      </c>
      <c r="AF77" s="168">
        <v>1.424105</v>
      </c>
      <c r="AG77" s="278">
        <v>498.95042314199014</v>
      </c>
    </row>
    <row r="78" spans="2:33" x14ac:dyDescent="0.3">
      <c r="D78" s="113" t="s">
        <v>693</v>
      </c>
      <c r="E78" s="273"/>
      <c r="F78" s="115">
        <f>M58/M62</f>
        <v>2.3945546474397988E-2</v>
      </c>
      <c r="Q78" s="187"/>
      <c r="AD78" t="s">
        <v>684</v>
      </c>
      <c r="AE78" s="278">
        <v>34.503790170814561</v>
      </c>
      <c r="AF78" s="168">
        <v>0.4469460826160675</v>
      </c>
      <c r="AG78" s="278">
        <v>15.421333852252342</v>
      </c>
    </row>
    <row r="79" spans="2:33" x14ac:dyDescent="0.3">
      <c r="D79" s="113" t="s">
        <v>583</v>
      </c>
      <c r="E79" s="273">
        <v>0.32611549431627562</v>
      </c>
      <c r="F79" s="115"/>
      <c r="Q79" s="44"/>
      <c r="AD79" t="s">
        <v>621</v>
      </c>
      <c r="AE79" s="278">
        <v>91.327938858144805</v>
      </c>
      <c r="AF79" s="168">
        <v>0.58102990740088778</v>
      </c>
      <c r="AG79" s="278">
        <v>53.064263857861818</v>
      </c>
    </row>
    <row r="80" spans="2:33" x14ac:dyDescent="0.3">
      <c r="D80" s="113" t="s">
        <v>735</v>
      </c>
      <c r="E80" s="273">
        <v>1.161369086005384E-2</v>
      </c>
      <c r="F80" s="115"/>
      <c r="AD80" t="s">
        <v>715</v>
      </c>
      <c r="AE80" s="278">
        <v>566.37177627786878</v>
      </c>
      <c r="AF80" s="168">
        <v>0.57804257526701741</v>
      </c>
      <c r="AG80" s="278">
        <v>327.3870001182143</v>
      </c>
    </row>
    <row r="81" spans="4:33" x14ac:dyDescent="0.3">
      <c r="D81" s="113" t="s">
        <v>585</v>
      </c>
      <c r="E81" s="273">
        <v>3.9962299115360013E-2</v>
      </c>
      <c r="F81" s="115"/>
      <c r="AD81" t="s">
        <v>618</v>
      </c>
      <c r="AE81" s="278">
        <v>486.94133318155122</v>
      </c>
      <c r="AF81" s="168">
        <v>0.88929626964156527</v>
      </c>
      <c r="AG81" s="278">
        <v>433.03511113264403</v>
      </c>
    </row>
    <row r="82" spans="4:33" x14ac:dyDescent="0.3">
      <c r="D82" s="113" t="s">
        <v>736</v>
      </c>
      <c r="E82" s="273">
        <v>0.24655269430004786</v>
      </c>
      <c r="F82" s="115"/>
    </row>
    <row r="83" spans="4:33" ht="17.25" thickBot="1" x14ac:dyDescent="0.35">
      <c r="D83" s="116" t="s">
        <v>587</v>
      </c>
      <c r="E83" s="274">
        <v>0.37575582140826275</v>
      </c>
      <c r="F83" s="118"/>
    </row>
    <row r="84" spans="4:33" ht="17.25" thickBot="1" x14ac:dyDescent="0.35"/>
    <row r="85" spans="4:33" ht="17.25" thickBot="1" x14ac:dyDescent="0.35">
      <c r="D85" s="600" t="s">
        <v>655</v>
      </c>
      <c r="E85" s="601"/>
      <c r="F85" s="602"/>
    </row>
    <row r="86" spans="4:33" x14ac:dyDescent="0.3">
      <c r="D86" s="110" t="s">
        <v>758</v>
      </c>
      <c r="E86" s="111"/>
      <c r="F86" s="112">
        <f>R36/F51</f>
        <v>0.24435240404730246</v>
      </c>
    </row>
    <row r="87" spans="4:33" x14ac:dyDescent="0.3">
      <c r="D87" s="113" t="s">
        <v>592</v>
      </c>
      <c r="E87" s="114"/>
      <c r="F87" s="115">
        <f t="shared" ref="F87:F92" si="6">R39/$F$51</f>
        <v>6.9569660112559953E-2</v>
      </c>
    </row>
    <row r="88" spans="4:33" x14ac:dyDescent="0.3">
      <c r="D88" s="113" t="s">
        <v>182</v>
      </c>
      <c r="E88" s="114"/>
      <c r="F88" s="115">
        <f t="shared" si="6"/>
        <v>0.46668365781473442</v>
      </c>
    </row>
    <row r="89" spans="4:33" x14ac:dyDescent="0.3">
      <c r="D89" s="113" t="s">
        <v>184</v>
      </c>
      <c r="E89" s="114"/>
      <c r="F89" s="115">
        <f t="shared" si="6"/>
        <v>8.214584465607476E-2</v>
      </c>
    </row>
    <row r="90" spans="4:33" x14ac:dyDescent="0.3">
      <c r="D90" s="113" t="s">
        <v>594</v>
      </c>
      <c r="E90" s="114"/>
      <c r="F90" s="115">
        <f t="shared" si="6"/>
        <v>4.6146158062746763E-4</v>
      </c>
    </row>
    <row r="91" spans="4:33" x14ac:dyDescent="0.3">
      <c r="D91" s="113" t="s">
        <v>595</v>
      </c>
      <c r="E91" s="114"/>
      <c r="F91" s="115">
        <f t="shared" si="6"/>
        <v>9.7183943491971E-3</v>
      </c>
    </row>
    <row r="92" spans="4:33" x14ac:dyDescent="0.3">
      <c r="D92" s="113" t="s">
        <v>757</v>
      </c>
      <c r="E92" s="114"/>
      <c r="F92" s="115">
        <f t="shared" si="6"/>
        <v>0.11551036410253267</v>
      </c>
    </row>
    <row r="93" spans="4:33" ht="17.25" thickBot="1" x14ac:dyDescent="0.35">
      <c r="D93" s="116" t="s">
        <v>733</v>
      </c>
      <c r="E93" s="117"/>
      <c r="F93" s="118">
        <f>1-SUM(F86:F92)</f>
        <v>1.1558213336971268E-2</v>
      </c>
    </row>
    <row r="94" spans="4:33" x14ac:dyDescent="0.3">
      <c r="F94" s="271"/>
    </row>
    <row r="97" spans="1:9" x14ac:dyDescent="0.3">
      <c r="E97" s="248"/>
      <c r="F97"/>
    </row>
    <row r="99" spans="1:9" ht="20.25" x14ac:dyDescent="0.3">
      <c r="A99" s="45" t="s">
        <v>728</v>
      </c>
    </row>
    <row r="101" spans="1:9" ht="17.25" thickBot="1" x14ac:dyDescent="0.35"/>
    <row r="102" spans="1:9" x14ac:dyDescent="0.3">
      <c r="B102" s="261" t="s">
        <v>747</v>
      </c>
      <c r="C102" s="262"/>
      <c r="D102" s="263">
        <v>1327.8581321029628</v>
      </c>
      <c r="F102"/>
    </row>
    <row r="103" spans="1:9" ht="17.25" thickBot="1" x14ac:dyDescent="0.35">
      <c r="B103" s="264" t="s">
        <v>748</v>
      </c>
      <c r="C103" s="265"/>
      <c r="D103" s="266">
        <f>M62/10^6</f>
        <v>1407.9255076645491</v>
      </c>
      <c r="F103"/>
    </row>
    <row r="104" spans="1:9" ht="17.25" thickBot="1" x14ac:dyDescent="0.35">
      <c r="B104" s="82"/>
    </row>
    <row r="105" spans="1:9" ht="17.25" thickBot="1" x14ac:dyDescent="0.35">
      <c r="B105" s="588" t="s">
        <v>752</v>
      </c>
      <c r="C105" s="589"/>
      <c r="D105" s="589"/>
      <c r="E105" s="589"/>
      <c r="F105" s="589"/>
      <c r="G105" s="589"/>
      <c r="H105" s="589"/>
      <c r="I105" s="590"/>
    </row>
    <row r="106" spans="1:9" x14ac:dyDescent="0.3">
      <c r="B106" s="249"/>
      <c r="C106" s="250"/>
      <c r="D106" s="586" t="s">
        <v>749</v>
      </c>
      <c r="E106" s="586"/>
      <c r="F106" s="586" t="s">
        <v>750</v>
      </c>
      <c r="G106" s="586"/>
      <c r="H106" s="586" t="s">
        <v>751</v>
      </c>
      <c r="I106" s="587"/>
    </row>
    <row r="107" spans="1:9" x14ac:dyDescent="0.3">
      <c r="B107" s="251"/>
      <c r="C107" s="252"/>
      <c r="D107" s="253">
        <v>-0.2</v>
      </c>
      <c r="E107" s="253">
        <v>0.2</v>
      </c>
      <c r="F107" s="253">
        <v>-0.2</v>
      </c>
      <c r="G107" s="253">
        <v>0.2</v>
      </c>
      <c r="H107" s="253">
        <v>-0.2</v>
      </c>
      <c r="I107" s="254">
        <v>0.2</v>
      </c>
    </row>
    <row r="108" spans="1:9" x14ac:dyDescent="0.3">
      <c r="B108" s="251" t="s">
        <v>690</v>
      </c>
      <c r="C108" s="252"/>
      <c r="D108" s="255">
        <v>1318.4932583039986</v>
      </c>
      <c r="E108" s="255">
        <v>1339.4834926809876</v>
      </c>
      <c r="F108" s="256">
        <f t="shared" ref="F108:G114" si="7">D108-$D$102</f>
        <v>-9.3648737989642541</v>
      </c>
      <c r="G108" s="256">
        <f t="shared" si="7"/>
        <v>11.625360578024811</v>
      </c>
      <c r="H108" s="267">
        <f>(D108-$D$102)/$D$102</f>
        <v>-7.0526162189727785E-3</v>
      </c>
      <c r="I108" s="268">
        <f>(E108-$D$102)/$D$102</f>
        <v>8.7549718580353392E-3</v>
      </c>
    </row>
    <row r="109" spans="1:9" x14ac:dyDescent="0.3">
      <c r="B109" s="251" t="s">
        <v>717</v>
      </c>
      <c r="C109" s="252"/>
      <c r="D109" s="255">
        <v>1305.2198726630386</v>
      </c>
      <c r="E109" s="255">
        <v>1351.6877773019855</v>
      </c>
      <c r="F109" s="256">
        <f t="shared" si="7"/>
        <v>-22.638259439924241</v>
      </c>
      <c r="G109" s="256">
        <f t="shared" si="7"/>
        <v>23.829645199022707</v>
      </c>
      <c r="H109" s="267">
        <f t="shared" ref="H109:H114" si="8">(D109-$D$102)/$D$102</f>
        <v>-1.7048703391281304E-2</v>
      </c>
      <c r="I109" s="268">
        <f t="shared" ref="I109:I114" si="9">(E109-$D$102)/$D$102</f>
        <v>1.7945927070750465E-2</v>
      </c>
    </row>
    <row r="110" spans="1:9" x14ac:dyDescent="0.3">
      <c r="B110" s="251" t="s">
        <v>743</v>
      </c>
      <c r="C110" s="252"/>
      <c r="D110" s="255">
        <v>1333.4713382923242</v>
      </c>
      <c r="E110" s="255">
        <v>1325.1879873257958</v>
      </c>
      <c r="F110" s="256">
        <f t="shared" si="7"/>
        <v>5.6132061893613354</v>
      </c>
      <c r="G110" s="256">
        <f t="shared" si="7"/>
        <v>-2.6701447771670246</v>
      </c>
      <c r="H110" s="267">
        <f t="shared" si="8"/>
        <v>4.2272634806788867E-3</v>
      </c>
      <c r="I110" s="268">
        <f t="shared" si="9"/>
        <v>-2.0108660048933453E-3</v>
      </c>
    </row>
    <row r="111" spans="1:9" x14ac:dyDescent="0.3">
      <c r="B111" s="251" t="s">
        <v>742</v>
      </c>
      <c r="C111" s="252"/>
      <c r="D111" s="255">
        <v>1267.2448764302194</v>
      </c>
      <c r="E111" s="255">
        <v>1388.471387775706</v>
      </c>
      <c r="F111" s="256">
        <f t="shared" si="7"/>
        <v>-60.613255672743435</v>
      </c>
      <c r="G111" s="256">
        <f t="shared" si="7"/>
        <v>60.613255672743207</v>
      </c>
      <c r="H111" s="267">
        <f t="shared" si="8"/>
        <v>-4.5647388231714686E-2</v>
      </c>
      <c r="I111" s="268">
        <f t="shared" si="9"/>
        <v>4.564738823171452E-2</v>
      </c>
    </row>
    <row r="112" spans="1:9" x14ac:dyDescent="0.3">
      <c r="B112" s="251" t="s">
        <v>745</v>
      </c>
      <c r="C112" s="252"/>
      <c r="D112" s="255">
        <v>1222.1375685829628</v>
      </c>
      <c r="E112" s="255">
        <v>1433.5786956229626</v>
      </c>
      <c r="F112" s="256">
        <f t="shared" si="7"/>
        <v>-105.72056352000004</v>
      </c>
      <c r="G112" s="256">
        <f t="shared" si="7"/>
        <v>105.72056351999981</v>
      </c>
      <c r="H112" s="267">
        <f t="shared" si="8"/>
        <v>-7.9617363454759796E-2</v>
      </c>
      <c r="I112" s="268">
        <f t="shared" si="9"/>
        <v>7.9617363454759629E-2</v>
      </c>
    </row>
    <row r="113" spans="2:9" x14ac:dyDescent="0.3">
      <c r="B113" s="251" t="s">
        <v>746</v>
      </c>
      <c r="C113" s="252"/>
      <c r="D113" s="255">
        <v>1309.2491561029628</v>
      </c>
      <c r="E113" s="255">
        <v>1346.4671081029628</v>
      </c>
      <c r="F113" s="256">
        <f t="shared" si="7"/>
        <v>-18.608975999999984</v>
      </c>
      <c r="G113" s="256">
        <f t="shared" si="7"/>
        <v>18.608975999999984</v>
      </c>
      <c r="H113" s="267">
        <f t="shared" si="8"/>
        <v>-1.4014280253364472E-2</v>
      </c>
      <c r="I113" s="268">
        <f t="shared" si="9"/>
        <v>1.4014280253364472E-2</v>
      </c>
    </row>
    <row r="114" spans="2:9" ht="17.25" thickBot="1" x14ac:dyDescent="0.35">
      <c r="B114" s="257" t="s">
        <v>744</v>
      </c>
      <c r="C114" s="258"/>
      <c r="D114" s="259">
        <v>1312.0981123383231</v>
      </c>
      <c r="E114" s="259">
        <v>1343.6181518676028</v>
      </c>
      <c r="F114" s="260">
        <f t="shared" si="7"/>
        <v>-15.760019764639765</v>
      </c>
      <c r="G114" s="260">
        <f t="shared" si="7"/>
        <v>15.760019764639992</v>
      </c>
      <c r="H114" s="269">
        <f t="shared" si="8"/>
        <v>-1.1868752680439E-2</v>
      </c>
      <c r="I114" s="270">
        <f t="shared" si="9"/>
        <v>1.1868752680439172E-2</v>
      </c>
    </row>
    <row r="116" spans="2:9" x14ac:dyDescent="0.3">
      <c r="E116" s="162"/>
    </row>
    <row r="117" spans="2:9" x14ac:dyDescent="0.3">
      <c r="C117" s="214">
        <f>F65</f>
        <v>1407925507.6645491</v>
      </c>
      <c r="D117" t="s">
        <v>738</v>
      </c>
    </row>
    <row r="118" spans="2:9" x14ac:dyDescent="0.3">
      <c r="B118" s="168">
        <f t="shared" ref="B118:B126" si="10">C118/$C$117</f>
        <v>7.1182029441011638E-2</v>
      </c>
      <c r="C118" s="214">
        <f>M56</f>
        <v>100218994.93732919</v>
      </c>
      <c r="D118" t="s">
        <v>739</v>
      </c>
    </row>
    <row r="119" spans="2:9" x14ac:dyDescent="0.3">
      <c r="B119" s="168">
        <f t="shared" si="10"/>
        <v>2.3942581440914951E-2</v>
      </c>
      <c r="C119" s="214">
        <f>F54</f>
        <v>33709371.129999995</v>
      </c>
      <c r="D119" t="s">
        <v>656</v>
      </c>
    </row>
    <row r="120" spans="2:9" x14ac:dyDescent="0.3">
      <c r="B120" s="168">
        <f t="shared" si="10"/>
        <v>0.31701385171955171</v>
      </c>
      <c r="C120" s="44">
        <f>R36+R44</f>
        <v>446331888.11894393</v>
      </c>
      <c r="D120" t="s">
        <v>740</v>
      </c>
    </row>
    <row r="121" spans="2:9" x14ac:dyDescent="0.3">
      <c r="B121" s="168">
        <f t="shared" si="10"/>
        <v>6.1285989735731412E-2</v>
      </c>
      <c r="C121" s="44">
        <f>R39</f>
        <v>86286108.211403996</v>
      </c>
      <c r="D121" t="s">
        <v>592</v>
      </c>
    </row>
    <row r="122" spans="2:9" x14ac:dyDescent="0.3">
      <c r="B122" s="168">
        <f t="shared" si="10"/>
        <v>0.41111556124310888</v>
      </c>
      <c r="C122" s="44">
        <f>R40</f>
        <v>578820085.27200007</v>
      </c>
      <c r="D122" t="s">
        <v>182</v>
      </c>
    </row>
    <row r="123" spans="2:9" x14ac:dyDescent="0.3">
      <c r="B123" s="168">
        <f t="shared" si="10"/>
        <v>8.9677388823956403E-3</v>
      </c>
      <c r="C123" s="44">
        <f>R42+R43</f>
        <v>12625908.318599999</v>
      </c>
      <c r="D123" t="s">
        <v>732</v>
      </c>
    </row>
    <row r="124" spans="2:9" x14ac:dyDescent="0.3">
      <c r="B124" s="168">
        <f t="shared" si="10"/>
        <v>7.2364726006707736E-2</v>
      </c>
      <c r="C124" s="44">
        <f>R41</f>
        <v>101884143.59999999</v>
      </c>
      <c r="D124" t="s">
        <v>184</v>
      </c>
    </row>
    <row r="125" spans="2:9" x14ac:dyDescent="0.3">
      <c r="B125" s="168">
        <f t="shared" si="10"/>
        <v>2.3945546474397988E-2</v>
      </c>
      <c r="C125" s="214">
        <f>M58</f>
        <v>33713545.676271841</v>
      </c>
      <c r="D125" t="s">
        <v>693</v>
      </c>
    </row>
    <row r="126" spans="2:9" x14ac:dyDescent="0.3">
      <c r="B126" s="168">
        <f t="shared" si="10"/>
        <v>1.0181975056180065E-2</v>
      </c>
      <c r="C126" s="214">
        <f>C117-SUM(C118:C125)</f>
        <v>14335462.400000095</v>
      </c>
      <c r="D126" t="s">
        <v>733</v>
      </c>
    </row>
  </sheetData>
  <mergeCells count="13">
    <mergeCell ref="D106:E106"/>
    <mergeCell ref="F106:G106"/>
    <mergeCell ref="H106:I106"/>
    <mergeCell ref="B105:I105"/>
    <mergeCell ref="B33:F33"/>
    <mergeCell ref="H33:S33"/>
    <mergeCell ref="H47:M47"/>
    <mergeCell ref="D85:F85"/>
    <mergeCell ref="H3:L3"/>
    <mergeCell ref="H25:K25"/>
    <mergeCell ref="B3:F3"/>
    <mergeCell ref="B13:F13"/>
    <mergeCell ref="H64:T64"/>
  </mergeCells>
  <phoneticPr fontId="5" type="noConversion"/>
  <hyperlinks>
    <hyperlink ref="M4" r:id="rId1" xr:uid="{00000000-0004-0000-0200-000000000000}"/>
  </hyperlinks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5"/>
  <sheetViews>
    <sheetView topLeftCell="A16" zoomScaleNormal="100" workbookViewId="0">
      <selection activeCell="H45" sqref="H45"/>
    </sheetView>
  </sheetViews>
  <sheetFormatPr defaultRowHeight="16.5" x14ac:dyDescent="0.3"/>
  <cols>
    <col min="1" max="1" width="4.5" customWidth="1"/>
    <col min="2" max="2" width="17.5" style="49" bestFit="1" customWidth="1"/>
    <col min="3" max="3" width="16.5" bestFit="1" customWidth="1"/>
    <col min="4" max="4" width="15.5" bestFit="1" customWidth="1"/>
    <col min="5" max="5" width="15.125" bestFit="1" customWidth="1"/>
    <col min="6" max="6" width="17.875" bestFit="1" customWidth="1"/>
    <col min="7" max="7" width="15.75" bestFit="1" customWidth="1"/>
    <col min="10" max="10" width="16.5" bestFit="1" customWidth="1"/>
    <col min="11" max="11" width="20.75" bestFit="1" customWidth="1"/>
  </cols>
  <sheetData>
    <row r="1" spans="1:16" x14ac:dyDescent="0.3">
      <c r="A1" t="s">
        <v>506</v>
      </c>
    </row>
    <row r="2" spans="1:16" x14ac:dyDescent="0.3">
      <c r="J2" s="320" t="s">
        <v>808</v>
      </c>
    </row>
    <row r="3" spans="1:16" x14ac:dyDescent="0.3">
      <c r="A3" t="s">
        <v>507</v>
      </c>
      <c r="B3" s="49" t="s">
        <v>508</v>
      </c>
      <c r="C3" t="s">
        <v>509</v>
      </c>
      <c r="D3" t="s">
        <v>510</v>
      </c>
      <c r="E3" s="50" t="s">
        <v>511</v>
      </c>
      <c r="F3" t="s">
        <v>512</v>
      </c>
      <c r="G3" t="s">
        <v>513</v>
      </c>
      <c r="J3" t="s">
        <v>802</v>
      </c>
      <c r="K3" t="s">
        <v>803</v>
      </c>
      <c r="L3" t="s">
        <v>804</v>
      </c>
      <c r="M3" t="s">
        <v>805</v>
      </c>
      <c r="N3" t="s">
        <v>806</v>
      </c>
    </row>
    <row r="4" spans="1:16" x14ac:dyDescent="0.3">
      <c r="D4" t="s">
        <v>514</v>
      </c>
      <c r="E4" s="50" t="s">
        <v>514</v>
      </c>
      <c r="F4" t="s">
        <v>515</v>
      </c>
      <c r="G4" t="s">
        <v>515</v>
      </c>
      <c r="J4" t="s">
        <v>142</v>
      </c>
      <c r="K4">
        <v>0</v>
      </c>
      <c r="L4">
        <v>0</v>
      </c>
      <c r="M4">
        <v>0</v>
      </c>
      <c r="N4">
        <v>0</v>
      </c>
    </row>
    <row r="5" spans="1:16" x14ac:dyDescent="0.3">
      <c r="E5" s="50"/>
      <c r="J5" t="s">
        <v>162</v>
      </c>
      <c r="K5">
        <v>0</v>
      </c>
      <c r="L5">
        <v>0</v>
      </c>
      <c r="M5">
        <v>0</v>
      </c>
      <c r="N5">
        <v>0</v>
      </c>
    </row>
    <row r="6" spans="1:16" x14ac:dyDescent="0.3">
      <c r="E6" s="50"/>
      <c r="J6" t="s">
        <v>797</v>
      </c>
      <c r="K6">
        <v>34300</v>
      </c>
      <c r="L6">
        <v>174800</v>
      </c>
      <c r="M6">
        <v>2300</v>
      </c>
      <c r="N6">
        <v>8824</v>
      </c>
    </row>
    <row r="7" spans="1:16" x14ac:dyDescent="0.3">
      <c r="E7" s="50"/>
      <c r="J7" t="s">
        <v>157</v>
      </c>
      <c r="K7">
        <v>0</v>
      </c>
      <c r="L7">
        <v>0</v>
      </c>
      <c r="M7">
        <v>0</v>
      </c>
      <c r="N7">
        <v>0</v>
      </c>
    </row>
    <row r="8" spans="1:16" x14ac:dyDescent="0.3">
      <c r="E8" s="50"/>
      <c r="J8" t="s">
        <v>145</v>
      </c>
      <c r="K8">
        <v>15629000</v>
      </c>
      <c r="L8">
        <v>43390000</v>
      </c>
      <c r="M8">
        <v>950000</v>
      </c>
      <c r="N8">
        <v>1690049</v>
      </c>
    </row>
    <row r="9" spans="1:16" x14ac:dyDescent="0.3">
      <c r="E9" s="50"/>
      <c r="J9" t="s">
        <v>800</v>
      </c>
      <c r="K9">
        <v>1865200</v>
      </c>
      <c r="L9">
        <v>3069000</v>
      </c>
      <c r="M9">
        <v>375900</v>
      </c>
      <c r="N9">
        <v>462692</v>
      </c>
    </row>
    <row r="10" spans="1:16" x14ac:dyDescent="0.3">
      <c r="E10" s="50"/>
      <c r="J10" t="s">
        <v>798</v>
      </c>
      <c r="K10">
        <v>5061400</v>
      </c>
      <c r="L10">
        <v>10643900</v>
      </c>
      <c r="M10">
        <v>654000</v>
      </c>
      <c r="N10">
        <v>827123</v>
      </c>
    </row>
    <row r="11" spans="1:16" x14ac:dyDescent="0.3">
      <c r="A11" t="s">
        <v>144</v>
      </c>
      <c r="B11" s="49" t="s">
        <v>516</v>
      </c>
      <c r="C11" t="s">
        <v>517</v>
      </c>
      <c r="D11">
        <v>0</v>
      </c>
      <c r="E11" s="50">
        <v>0</v>
      </c>
      <c r="F11">
        <v>0</v>
      </c>
      <c r="G11">
        <v>0</v>
      </c>
      <c r="J11" t="s">
        <v>523</v>
      </c>
      <c r="K11">
        <v>0</v>
      </c>
      <c r="L11">
        <v>0</v>
      </c>
      <c r="M11">
        <v>0</v>
      </c>
      <c r="N11">
        <v>0</v>
      </c>
    </row>
    <row r="12" spans="1:16" x14ac:dyDescent="0.3">
      <c r="A12" t="s">
        <v>144</v>
      </c>
      <c r="B12" s="49" t="s">
        <v>518</v>
      </c>
      <c r="C12" t="s">
        <v>519</v>
      </c>
      <c r="E12" s="50"/>
      <c r="J12" t="s">
        <v>524</v>
      </c>
      <c r="K12">
        <v>25900</v>
      </c>
      <c r="L12">
        <v>41400</v>
      </c>
      <c r="M12">
        <v>2400</v>
      </c>
      <c r="N12">
        <v>3195</v>
      </c>
      <c r="P12" s="321"/>
    </row>
    <row r="13" spans="1:16" x14ac:dyDescent="0.3">
      <c r="A13" t="s">
        <v>144</v>
      </c>
      <c r="B13" s="49" t="s">
        <v>520</v>
      </c>
      <c r="C13" t="s">
        <v>517</v>
      </c>
      <c r="D13">
        <v>0</v>
      </c>
      <c r="E13" s="50">
        <v>0</v>
      </c>
      <c r="F13">
        <v>0</v>
      </c>
      <c r="G13">
        <v>0</v>
      </c>
      <c r="J13" t="s">
        <v>525</v>
      </c>
      <c r="K13">
        <v>16200</v>
      </c>
      <c r="L13">
        <v>65200</v>
      </c>
      <c r="M13">
        <v>1600</v>
      </c>
      <c r="N13">
        <v>3196</v>
      </c>
    </row>
    <row r="14" spans="1:16" x14ac:dyDescent="0.3">
      <c r="E14" s="50"/>
      <c r="J14" t="s">
        <v>527</v>
      </c>
      <c r="K14">
        <v>0</v>
      </c>
      <c r="L14">
        <v>0</v>
      </c>
      <c r="M14">
        <v>0</v>
      </c>
      <c r="N14">
        <v>0</v>
      </c>
    </row>
    <row r="15" spans="1:16" x14ac:dyDescent="0.3">
      <c r="A15" t="s">
        <v>521</v>
      </c>
      <c r="B15" s="49" t="s">
        <v>142</v>
      </c>
      <c r="C15" t="s">
        <v>522</v>
      </c>
      <c r="E15" s="50">
        <v>0</v>
      </c>
      <c r="J15" t="s">
        <v>528</v>
      </c>
      <c r="K15">
        <v>0</v>
      </c>
      <c r="L15">
        <v>0</v>
      </c>
      <c r="M15">
        <v>0</v>
      </c>
      <c r="N15">
        <v>0</v>
      </c>
      <c r="O15" s="321"/>
      <c r="P15" s="321"/>
    </row>
    <row r="16" spans="1:16" x14ac:dyDescent="0.3">
      <c r="A16" t="s">
        <v>521</v>
      </c>
      <c r="B16" s="49" t="s">
        <v>162</v>
      </c>
      <c r="C16" t="s">
        <v>522</v>
      </c>
      <c r="D16" s="48"/>
      <c r="E16" s="51"/>
      <c r="J16" t="s">
        <v>530</v>
      </c>
      <c r="K16">
        <v>4900</v>
      </c>
      <c r="L16">
        <v>32000</v>
      </c>
      <c r="M16">
        <v>130</v>
      </c>
      <c r="N16">
        <v>1087</v>
      </c>
    </row>
    <row r="17" spans="1:16" x14ac:dyDescent="0.3">
      <c r="A17" t="s">
        <v>521</v>
      </c>
      <c r="B17" s="49" t="s">
        <v>157</v>
      </c>
      <c r="C17" t="s">
        <v>517</v>
      </c>
      <c r="D17" s="48">
        <v>0</v>
      </c>
      <c r="E17" s="51">
        <v>0</v>
      </c>
      <c r="F17" s="48">
        <v>0</v>
      </c>
      <c r="G17" s="48">
        <v>0</v>
      </c>
      <c r="J17" t="s">
        <v>532</v>
      </c>
      <c r="K17">
        <v>95400</v>
      </c>
      <c r="L17">
        <v>255800</v>
      </c>
      <c r="M17">
        <v>11700</v>
      </c>
      <c r="N17">
        <v>20146</v>
      </c>
    </row>
    <row r="18" spans="1:16" x14ac:dyDescent="0.3">
      <c r="A18" t="s">
        <v>521</v>
      </c>
      <c r="B18" s="49" t="s">
        <v>143</v>
      </c>
      <c r="C18" t="s">
        <v>522</v>
      </c>
      <c r="D18" s="48"/>
      <c r="E18" s="51"/>
      <c r="F18" s="48"/>
      <c r="G18" s="48"/>
      <c r="J18" t="s">
        <v>796</v>
      </c>
      <c r="K18">
        <v>2345100</v>
      </c>
      <c r="L18">
        <v>3753200</v>
      </c>
      <c r="M18">
        <v>303800</v>
      </c>
      <c r="N18">
        <v>359321</v>
      </c>
    </row>
    <row r="19" spans="1:16" x14ac:dyDescent="0.3">
      <c r="A19" t="s">
        <v>521</v>
      </c>
      <c r="B19" s="49" t="s">
        <v>145</v>
      </c>
      <c r="C19" t="s">
        <v>522</v>
      </c>
      <c r="D19" s="48">
        <v>35808000</v>
      </c>
      <c r="E19" s="51">
        <v>12850900</v>
      </c>
      <c r="F19" s="48">
        <v>1376100</v>
      </c>
      <c r="G19" s="48">
        <v>2054301</v>
      </c>
      <c r="J19" t="s">
        <v>161</v>
      </c>
      <c r="K19">
        <v>0</v>
      </c>
      <c r="L19">
        <v>0</v>
      </c>
      <c r="M19">
        <v>0</v>
      </c>
      <c r="N19">
        <v>0</v>
      </c>
    </row>
    <row r="20" spans="1:16" x14ac:dyDescent="0.3">
      <c r="A20" t="s">
        <v>521</v>
      </c>
      <c r="B20" s="49" t="s">
        <v>523</v>
      </c>
      <c r="C20" t="s">
        <v>517</v>
      </c>
      <c r="D20" s="48">
        <v>0</v>
      </c>
      <c r="E20" s="51">
        <v>0</v>
      </c>
      <c r="F20">
        <v>0</v>
      </c>
      <c r="G20">
        <v>0</v>
      </c>
      <c r="J20" t="s">
        <v>158</v>
      </c>
      <c r="K20">
        <v>0</v>
      </c>
      <c r="L20">
        <v>0</v>
      </c>
      <c r="M20">
        <v>0</v>
      </c>
      <c r="N20">
        <v>0</v>
      </c>
    </row>
    <row r="21" spans="1:16" x14ac:dyDescent="0.3">
      <c r="A21" t="s">
        <v>521</v>
      </c>
      <c r="B21" s="49" t="s">
        <v>524</v>
      </c>
      <c r="C21" t="s">
        <v>522</v>
      </c>
      <c r="D21" s="48">
        <v>21400</v>
      </c>
      <c r="E21" s="51">
        <v>9200</v>
      </c>
      <c r="F21" s="48">
        <v>300</v>
      </c>
      <c r="G21" s="48">
        <v>782</v>
      </c>
      <c r="J21" t="s">
        <v>535</v>
      </c>
      <c r="K21">
        <v>577200</v>
      </c>
      <c r="L21">
        <v>954600</v>
      </c>
      <c r="M21">
        <v>113800</v>
      </c>
      <c r="N21">
        <v>139463</v>
      </c>
    </row>
    <row r="22" spans="1:16" x14ac:dyDescent="0.3">
      <c r="A22" t="s">
        <v>521</v>
      </c>
      <c r="B22" s="49" t="s">
        <v>525</v>
      </c>
      <c r="C22" t="s">
        <v>526</v>
      </c>
      <c r="D22" s="48">
        <v>78800</v>
      </c>
      <c r="E22" s="51">
        <v>19000</v>
      </c>
      <c r="F22" s="48">
        <v>2500</v>
      </c>
      <c r="G22" s="48">
        <v>4637</v>
      </c>
      <c r="J22" t="s">
        <v>788</v>
      </c>
      <c r="K22">
        <v>0</v>
      </c>
      <c r="L22">
        <v>0</v>
      </c>
      <c r="M22">
        <v>0</v>
      </c>
      <c r="N22">
        <v>0</v>
      </c>
    </row>
    <row r="23" spans="1:16" x14ac:dyDescent="0.3">
      <c r="A23" t="s">
        <v>521</v>
      </c>
      <c r="B23" s="49" t="s">
        <v>527</v>
      </c>
      <c r="C23" t="s">
        <v>517</v>
      </c>
      <c r="D23">
        <v>0</v>
      </c>
      <c r="E23" s="50">
        <v>0</v>
      </c>
      <c r="F23">
        <v>0</v>
      </c>
      <c r="G23">
        <v>0</v>
      </c>
      <c r="J23" t="s">
        <v>159</v>
      </c>
      <c r="K23">
        <v>0</v>
      </c>
      <c r="L23">
        <v>0</v>
      </c>
      <c r="M23">
        <v>0</v>
      </c>
      <c r="N23">
        <v>0</v>
      </c>
    </row>
    <row r="24" spans="1:16" x14ac:dyDescent="0.3">
      <c r="A24" t="s">
        <v>521</v>
      </c>
      <c r="B24" s="49" t="s">
        <v>528</v>
      </c>
      <c r="C24" t="s">
        <v>529</v>
      </c>
      <c r="D24" s="48"/>
      <c r="E24" s="51"/>
      <c r="F24" s="48"/>
      <c r="G24" s="48"/>
      <c r="J24" t="s">
        <v>795</v>
      </c>
      <c r="K24">
        <v>1744500</v>
      </c>
      <c r="L24">
        <v>2138500</v>
      </c>
      <c r="M24">
        <v>226200</v>
      </c>
      <c r="N24">
        <v>265332</v>
      </c>
    </row>
    <row r="25" spans="1:16" x14ac:dyDescent="0.3">
      <c r="A25" t="s">
        <v>521</v>
      </c>
      <c r="B25" s="49" t="s">
        <v>530</v>
      </c>
      <c r="C25" t="s">
        <v>531</v>
      </c>
      <c r="D25" s="48">
        <v>24600</v>
      </c>
      <c r="E25" s="51">
        <v>4600</v>
      </c>
      <c r="F25" s="48">
        <v>100</v>
      </c>
      <c r="G25" s="48">
        <v>711</v>
      </c>
      <c r="J25" t="s">
        <v>538</v>
      </c>
      <c r="K25">
        <v>0</v>
      </c>
      <c r="L25">
        <v>0</v>
      </c>
      <c r="M25">
        <v>0</v>
      </c>
      <c r="N25">
        <v>0</v>
      </c>
    </row>
    <row r="26" spans="1:16" x14ac:dyDescent="0.3">
      <c r="A26" t="s">
        <v>521</v>
      </c>
      <c r="B26" s="49" t="s">
        <v>532</v>
      </c>
      <c r="C26" t="s">
        <v>533</v>
      </c>
      <c r="D26" s="48">
        <v>265400</v>
      </c>
      <c r="E26" s="51">
        <v>92500</v>
      </c>
      <c r="F26" s="48">
        <v>11800</v>
      </c>
      <c r="G26" s="48">
        <v>23261</v>
      </c>
      <c r="J26" t="s">
        <v>539</v>
      </c>
      <c r="K26">
        <v>579700</v>
      </c>
      <c r="L26">
        <v>669800</v>
      </c>
      <c r="M26">
        <v>82800</v>
      </c>
      <c r="N26">
        <v>88797</v>
      </c>
      <c r="P26" s="321"/>
    </row>
    <row r="27" spans="1:16" x14ac:dyDescent="0.3">
      <c r="A27" t="s">
        <v>521</v>
      </c>
      <c r="B27" s="49" t="s">
        <v>147</v>
      </c>
      <c r="C27" t="s">
        <v>522</v>
      </c>
      <c r="D27" s="48">
        <v>7734700</v>
      </c>
      <c r="E27" s="51">
        <v>4429400</v>
      </c>
      <c r="F27" s="48">
        <v>690000</v>
      </c>
      <c r="G27" s="48">
        <v>833656</v>
      </c>
      <c r="J27" t="s">
        <v>540</v>
      </c>
      <c r="K27">
        <v>48700</v>
      </c>
      <c r="L27">
        <v>281800</v>
      </c>
      <c r="M27">
        <v>6600</v>
      </c>
      <c r="N27">
        <v>20275</v>
      </c>
    </row>
    <row r="28" spans="1:16" x14ac:dyDescent="0.3">
      <c r="A28" t="s">
        <v>521</v>
      </c>
      <c r="B28" s="49" t="s">
        <v>161</v>
      </c>
      <c r="C28" t="s">
        <v>517</v>
      </c>
      <c r="D28" s="48">
        <v>0</v>
      </c>
      <c r="E28" s="51">
        <v>0</v>
      </c>
      <c r="F28" s="48">
        <v>0</v>
      </c>
      <c r="G28" s="48">
        <v>0</v>
      </c>
      <c r="J28" t="s">
        <v>541</v>
      </c>
      <c r="K28">
        <v>0</v>
      </c>
      <c r="L28">
        <v>0</v>
      </c>
      <c r="M28">
        <v>0</v>
      </c>
      <c r="N28">
        <v>0</v>
      </c>
    </row>
    <row r="29" spans="1:16" x14ac:dyDescent="0.3">
      <c r="A29" t="s">
        <v>521</v>
      </c>
      <c r="B29" s="49" t="s">
        <v>156</v>
      </c>
      <c r="C29" t="s">
        <v>522</v>
      </c>
      <c r="D29" s="48">
        <v>1241900</v>
      </c>
      <c r="E29" s="51">
        <v>801700</v>
      </c>
      <c r="F29" s="48">
        <v>130500</v>
      </c>
      <c r="G29" s="48">
        <v>149901</v>
      </c>
      <c r="J29" t="s">
        <v>542</v>
      </c>
      <c r="K29">
        <v>528300</v>
      </c>
      <c r="L29">
        <v>654800</v>
      </c>
      <c r="M29">
        <v>69000</v>
      </c>
      <c r="N29">
        <v>77396</v>
      </c>
      <c r="P29" s="321"/>
    </row>
    <row r="30" spans="1:16" x14ac:dyDescent="0.3">
      <c r="A30" t="s">
        <v>521</v>
      </c>
      <c r="B30" s="49" t="s">
        <v>149</v>
      </c>
      <c r="C30" t="s">
        <v>534</v>
      </c>
      <c r="D30" s="48">
        <v>46112000</v>
      </c>
      <c r="E30" s="51">
        <v>43793400</v>
      </c>
      <c r="F30" s="48">
        <v>351600</v>
      </c>
      <c r="G30" s="48">
        <v>589107</v>
      </c>
      <c r="J30" t="s">
        <v>543</v>
      </c>
      <c r="K30">
        <v>27000</v>
      </c>
      <c r="L30">
        <v>77500</v>
      </c>
      <c r="M30">
        <v>930</v>
      </c>
      <c r="N30">
        <v>3523</v>
      </c>
    </row>
    <row r="31" spans="1:16" x14ac:dyDescent="0.3">
      <c r="A31" t="s">
        <v>521</v>
      </c>
      <c r="B31" s="49" t="s">
        <v>158</v>
      </c>
      <c r="C31" t="s">
        <v>517</v>
      </c>
      <c r="D31" s="48">
        <v>0</v>
      </c>
      <c r="E31" s="51">
        <v>0</v>
      </c>
      <c r="F31" s="48">
        <v>0</v>
      </c>
      <c r="G31" s="48">
        <v>0</v>
      </c>
      <c r="J31" t="s">
        <v>544</v>
      </c>
      <c r="K31">
        <v>3011600</v>
      </c>
      <c r="L31">
        <v>4576000</v>
      </c>
      <c r="M31">
        <v>512300</v>
      </c>
      <c r="N31">
        <v>622567</v>
      </c>
    </row>
    <row r="32" spans="1:16" x14ac:dyDescent="0.3">
      <c r="A32" t="s">
        <v>521</v>
      </c>
      <c r="B32" s="49" t="s">
        <v>535</v>
      </c>
      <c r="C32" t="s">
        <v>519</v>
      </c>
      <c r="D32" s="48">
        <v>772100</v>
      </c>
      <c r="E32" s="51">
        <v>443200</v>
      </c>
      <c r="F32" s="48">
        <v>89100</v>
      </c>
      <c r="G32" s="48">
        <v>113356</v>
      </c>
      <c r="J32" t="s">
        <v>141</v>
      </c>
      <c r="K32">
        <v>0</v>
      </c>
      <c r="L32">
        <v>0</v>
      </c>
      <c r="M32">
        <v>0</v>
      </c>
      <c r="N32">
        <v>0</v>
      </c>
    </row>
    <row r="33" spans="1:16" x14ac:dyDescent="0.3">
      <c r="A33" t="s">
        <v>521</v>
      </c>
      <c r="B33" s="49" t="s">
        <v>159</v>
      </c>
      <c r="C33" t="s">
        <v>517</v>
      </c>
      <c r="D33">
        <v>0</v>
      </c>
      <c r="E33" s="50">
        <v>0</v>
      </c>
      <c r="F33">
        <v>0</v>
      </c>
      <c r="G33">
        <v>0</v>
      </c>
      <c r="J33" t="s">
        <v>163</v>
      </c>
      <c r="K33">
        <v>0</v>
      </c>
      <c r="L33">
        <v>0</v>
      </c>
      <c r="M33">
        <v>0</v>
      </c>
      <c r="N33">
        <v>0</v>
      </c>
      <c r="P33" s="321"/>
    </row>
    <row r="34" spans="1:16" x14ac:dyDescent="0.3">
      <c r="A34" t="s">
        <v>521</v>
      </c>
      <c r="B34" s="49" t="s">
        <v>536</v>
      </c>
      <c r="C34" t="s">
        <v>517</v>
      </c>
      <c r="D34" s="48">
        <v>0</v>
      </c>
      <c r="E34" s="51">
        <v>0</v>
      </c>
      <c r="F34" s="48">
        <v>0</v>
      </c>
      <c r="G34" s="48">
        <v>0</v>
      </c>
      <c r="J34" t="s">
        <v>143</v>
      </c>
      <c r="K34">
        <v>0</v>
      </c>
      <c r="L34">
        <v>0</v>
      </c>
      <c r="M34">
        <v>0</v>
      </c>
      <c r="N34">
        <v>0</v>
      </c>
    </row>
    <row r="35" spans="1:16" x14ac:dyDescent="0.3">
      <c r="A35" t="s">
        <v>521</v>
      </c>
      <c r="B35" s="49" t="s">
        <v>537</v>
      </c>
      <c r="C35" t="s">
        <v>517</v>
      </c>
      <c r="D35" s="48">
        <v>0</v>
      </c>
      <c r="E35" s="51">
        <v>0</v>
      </c>
      <c r="F35" s="48">
        <v>0</v>
      </c>
      <c r="G35" s="48">
        <v>0</v>
      </c>
      <c r="J35" t="s">
        <v>546</v>
      </c>
      <c r="K35">
        <v>1785500</v>
      </c>
      <c r="L35">
        <v>2089000</v>
      </c>
      <c r="M35">
        <v>362800</v>
      </c>
      <c r="N35">
        <v>384858</v>
      </c>
    </row>
    <row r="36" spans="1:16" x14ac:dyDescent="0.3">
      <c r="A36" t="s">
        <v>521</v>
      </c>
      <c r="B36" s="49" t="s">
        <v>146</v>
      </c>
      <c r="C36" t="s">
        <v>534</v>
      </c>
      <c r="E36" s="50"/>
      <c r="J36" t="s">
        <v>160</v>
      </c>
      <c r="K36">
        <v>0</v>
      </c>
      <c r="L36">
        <v>0</v>
      </c>
      <c r="M36">
        <v>0</v>
      </c>
      <c r="N36">
        <v>0</v>
      </c>
    </row>
    <row r="37" spans="1:16" x14ac:dyDescent="0.3">
      <c r="A37" t="s">
        <v>521</v>
      </c>
      <c r="B37" s="49" t="s">
        <v>538</v>
      </c>
      <c r="C37" t="s">
        <v>517</v>
      </c>
      <c r="D37" s="48">
        <v>0</v>
      </c>
      <c r="E37" s="51">
        <v>0</v>
      </c>
      <c r="F37" s="48">
        <v>0</v>
      </c>
      <c r="G37" s="48">
        <v>0</v>
      </c>
      <c r="J37" t="s">
        <v>548</v>
      </c>
      <c r="K37">
        <v>1142700</v>
      </c>
      <c r="L37">
        <v>1375900</v>
      </c>
      <c r="M37">
        <v>228700</v>
      </c>
      <c r="N37">
        <v>245240</v>
      </c>
    </row>
    <row r="38" spans="1:16" x14ac:dyDescent="0.3">
      <c r="A38" t="s">
        <v>521</v>
      </c>
      <c r="B38" s="49" t="s">
        <v>539</v>
      </c>
      <c r="C38" t="s">
        <v>522</v>
      </c>
      <c r="D38" s="48">
        <v>1018500</v>
      </c>
      <c r="E38" s="51">
        <v>912000</v>
      </c>
      <c r="F38" s="48">
        <v>178000</v>
      </c>
      <c r="G38" s="48">
        <v>185445</v>
      </c>
      <c r="J38" t="s">
        <v>140</v>
      </c>
      <c r="K38">
        <v>0</v>
      </c>
      <c r="L38">
        <v>0</v>
      </c>
      <c r="M38">
        <v>0</v>
      </c>
      <c r="N38">
        <v>0</v>
      </c>
    </row>
    <row r="39" spans="1:16" x14ac:dyDescent="0.3">
      <c r="A39" t="s">
        <v>521</v>
      </c>
      <c r="B39" s="49" t="s">
        <v>540</v>
      </c>
      <c r="C39" t="s">
        <v>526</v>
      </c>
      <c r="D39" s="48">
        <v>295400</v>
      </c>
      <c r="E39" s="51">
        <v>46600</v>
      </c>
      <c r="F39" s="48">
        <v>7900</v>
      </c>
      <c r="G39" s="48">
        <v>25178</v>
      </c>
      <c r="J39" t="s">
        <v>549</v>
      </c>
      <c r="K39">
        <v>1289400</v>
      </c>
      <c r="L39">
        <v>1592500</v>
      </c>
      <c r="M39">
        <v>259400</v>
      </c>
      <c r="N39">
        <v>280277</v>
      </c>
    </row>
    <row r="40" spans="1:16" x14ac:dyDescent="0.3">
      <c r="A40" t="s">
        <v>521</v>
      </c>
      <c r="B40" s="49" t="s">
        <v>541</v>
      </c>
      <c r="C40" t="s">
        <v>517</v>
      </c>
      <c r="D40" s="48">
        <v>0</v>
      </c>
      <c r="E40" s="51">
        <v>0</v>
      </c>
      <c r="F40" s="48">
        <v>0</v>
      </c>
      <c r="G40" s="48">
        <v>0</v>
      </c>
      <c r="J40" t="s">
        <v>801</v>
      </c>
      <c r="K40">
        <v>2914300</v>
      </c>
      <c r="L40">
        <v>4885500</v>
      </c>
      <c r="M40">
        <v>378900</v>
      </c>
      <c r="N40">
        <v>459203</v>
      </c>
    </row>
    <row r="41" spans="1:16" x14ac:dyDescent="0.3">
      <c r="A41" t="s">
        <v>521</v>
      </c>
      <c r="B41" s="49" t="s">
        <v>542</v>
      </c>
      <c r="C41" t="s">
        <v>529</v>
      </c>
      <c r="D41" s="48">
        <v>287100</v>
      </c>
      <c r="E41" s="51">
        <v>75400</v>
      </c>
      <c r="F41" s="48">
        <v>10900</v>
      </c>
      <c r="G41" s="48">
        <v>18757</v>
      </c>
      <c r="J41" t="s">
        <v>550</v>
      </c>
      <c r="K41">
        <v>0</v>
      </c>
      <c r="L41">
        <v>0</v>
      </c>
      <c r="M41">
        <v>0</v>
      </c>
      <c r="N41">
        <v>0</v>
      </c>
    </row>
    <row r="42" spans="1:16" x14ac:dyDescent="0.3">
      <c r="A42" t="s">
        <v>521</v>
      </c>
      <c r="B42" s="49" t="s">
        <v>543</v>
      </c>
      <c r="C42" t="s">
        <v>531</v>
      </c>
      <c r="D42" s="48">
        <v>93200</v>
      </c>
      <c r="E42" s="51">
        <v>38400</v>
      </c>
      <c r="F42" s="48">
        <v>1200</v>
      </c>
      <c r="G42" s="48">
        <v>4826</v>
      </c>
      <c r="J42" t="s">
        <v>551</v>
      </c>
      <c r="K42">
        <v>142900</v>
      </c>
      <c r="L42">
        <v>180800</v>
      </c>
      <c r="M42">
        <v>17900</v>
      </c>
      <c r="N42">
        <v>20059</v>
      </c>
      <c r="P42" s="321"/>
    </row>
    <row r="43" spans="1:16" x14ac:dyDescent="0.3">
      <c r="A43" t="s">
        <v>521</v>
      </c>
      <c r="B43" s="49" t="s">
        <v>544</v>
      </c>
      <c r="C43" t="s">
        <v>533</v>
      </c>
      <c r="D43" s="48">
        <v>4191200</v>
      </c>
      <c r="E43" s="51">
        <v>2474800</v>
      </c>
      <c r="F43" s="48">
        <v>437800</v>
      </c>
      <c r="G43" s="48">
        <v>580967</v>
      </c>
      <c r="J43" t="s">
        <v>552</v>
      </c>
      <c r="K43">
        <v>34100</v>
      </c>
      <c r="L43">
        <v>185600</v>
      </c>
      <c r="M43">
        <v>4500</v>
      </c>
      <c r="N43">
        <v>12245</v>
      </c>
    </row>
    <row r="44" spans="1:16" x14ac:dyDescent="0.3">
      <c r="A44" t="s">
        <v>521</v>
      </c>
      <c r="B44" s="49" t="s">
        <v>151</v>
      </c>
      <c r="C44" t="s">
        <v>522</v>
      </c>
      <c r="D44" s="48">
        <v>2214600</v>
      </c>
      <c r="E44" s="51">
        <v>1865400</v>
      </c>
      <c r="F44" s="48">
        <v>302400</v>
      </c>
      <c r="G44" s="48">
        <v>341321</v>
      </c>
      <c r="J44" t="s">
        <v>553</v>
      </c>
      <c r="K44">
        <v>0</v>
      </c>
      <c r="L44">
        <v>0</v>
      </c>
      <c r="M44">
        <v>0</v>
      </c>
      <c r="N44">
        <v>0</v>
      </c>
    </row>
    <row r="45" spans="1:16" x14ac:dyDescent="0.3">
      <c r="A45" t="s">
        <v>521</v>
      </c>
      <c r="B45" s="49" t="s">
        <v>141</v>
      </c>
      <c r="C45" t="s">
        <v>522</v>
      </c>
      <c r="D45" s="48"/>
      <c r="E45" s="51"/>
      <c r="F45" s="48"/>
      <c r="G45" s="48"/>
      <c r="J45" t="s">
        <v>554</v>
      </c>
      <c r="K45">
        <v>642900</v>
      </c>
      <c r="L45">
        <v>746500</v>
      </c>
      <c r="M45">
        <v>79000</v>
      </c>
      <c r="N45">
        <v>86064</v>
      </c>
      <c r="P45" s="321"/>
    </row>
    <row r="46" spans="1:16" x14ac:dyDescent="0.3">
      <c r="A46" t="s">
        <v>521</v>
      </c>
      <c r="B46" s="49" t="s">
        <v>163</v>
      </c>
      <c r="C46" t="s">
        <v>545</v>
      </c>
      <c r="D46" s="48"/>
      <c r="E46" s="51"/>
      <c r="F46" s="48"/>
      <c r="G46" s="48"/>
      <c r="J46" t="s">
        <v>555</v>
      </c>
      <c r="K46">
        <v>10300</v>
      </c>
      <c r="L46">
        <v>48700</v>
      </c>
      <c r="M46">
        <v>360</v>
      </c>
      <c r="N46">
        <v>1948</v>
      </c>
    </row>
    <row r="47" spans="1:16" x14ac:dyDescent="0.3">
      <c r="A47" t="s">
        <v>521</v>
      </c>
      <c r="B47" s="49" t="s">
        <v>150</v>
      </c>
      <c r="C47" t="s">
        <v>522</v>
      </c>
      <c r="D47" s="48">
        <v>9050100</v>
      </c>
      <c r="E47" s="51">
        <v>8613900</v>
      </c>
      <c r="F47" s="48">
        <v>1362500</v>
      </c>
      <c r="G47" s="48">
        <v>1396254</v>
      </c>
      <c r="J47" t="s">
        <v>556</v>
      </c>
      <c r="K47">
        <v>261400</v>
      </c>
      <c r="L47">
        <v>606800</v>
      </c>
      <c r="M47">
        <v>43100</v>
      </c>
      <c r="N47">
        <v>64698</v>
      </c>
    </row>
    <row r="48" spans="1:16" x14ac:dyDescent="0.3">
      <c r="A48" t="s">
        <v>521</v>
      </c>
      <c r="B48" s="49" t="s">
        <v>546</v>
      </c>
      <c r="C48" t="s">
        <v>519</v>
      </c>
      <c r="D48" s="48">
        <v>1744800</v>
      </c>
      <c r="E48" s="51">
        <v>1476700</v>
      </c>
      <c r="F48" s="48">
        <v>312300</v>
      </c>
      <c r="G48" s="48">
        <v>335000</v>
      </c>
      <c r="J48" t="s">
        <v>557</v>
      </c>
      <c r="K48">
        <v>689100</v>
      </c>
      <c r="L48">
        <v>1072300</v>
      </c>
      <c r="M48">
        <v>133200</v>
      </c>
      <c r="N48">
        <v>158951</v>
      </c>
    </row>
    <row r="49" spans="1:14" x14ac:dyDescent="0.3">
      <c r="A49" t="s">
        <v>521</v>
      </c>
      <c r="B49" s="49" t="s">
        <v>547</v>
      </c>
      <c r="C49" t="s">
        <v>517</v>
      </c>
      <c r="D49" s="48">
        <v>0</v>
      </c>
      <c r="E49" s="51">
        <v>0</v>
      </c>
      <c r="F49" s="48">
        <v>0</v>
      </c>
      <c r="G49" s="48">
        <v>0</v>
      </c>
      <c r="J49" t="s">
        <v>799</v>
      </c>
      <c r="K49">
        <v>139000</v>
      </c>
      <c r="L49">
        <v>432400</v>
      </c>
      <c r="M49">
        <v>20900</v>
      </c>
      <c r="N49">
        <v>39177</v>
      </c>
    </row>
    <row r="50" spans="1:14" x14ac:dyDescent="0.3">
      <c r="A50" t="s">
        <v>521</v>
      </c>
      <c r="B50" s="49" t="s">
        <v>160</v>
      </c>
      <c r="C50" t="s">
        <v>517</v>
      </c>
      <c r="D50" s="48">
        <v>0</v>
      </c>
      <c r="E50" s="51">
        <v>0</v>
      </c>
      <c r="F50" s="48">
        <v>0</v>
      </c>
      <c r="G50" s="48">
        <v>0</v>
      </c>
      <c r="J50" t="s">
        <v>789</v>
      </c>
      <c r="K50">
        <v>61512900</v>
      </c>
      <c r="L50">
        <v>64613000</v>
      </c>
      <c r="M50">
        <v>459200</v>
      </c>
      <c r="N50">
        <v>740769</v>
      </c>
    </row>
    <row r="51" spans="1:14" x14ac:dyDescent="0.3">
      <c r="A51" t="s">
        <v>521</v>
      </c>
      <c r="B51" s="49" t="s">
        <v>548</v>
      </c>
      <c r="C51" t="s">
        <v>519</v>
      </c>
      <c r="D51" s="48">
        <v>1188400</v>
      </c>
      <c r="E51" s="51">
        <v>949500</v>
      </c>
      <c r="F51" s="48">
        <v>196700</v>
      </c>
      <c r="G51" s="48">
        <v>212893</v>
      </c>
      <c r="J51" t="s">
        <v>518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521</v>
      </c>
      <c r="B52" s="49" t="s">
        <v>140</v>
      </c>
      <c r="C52" t="s">
        <v>517</v>
      </c>
      <c r="D52" s="48">
        <v>0</v>
      </c>
      <c r="E52" s="51">
        <v>0</v>
      </c>
      <c r="F52" s="48">
        <v>0</v>
      </c>
      <c r="G52" s="48">
        <v>0</v>
      </c>
      <c r="J52" t="s">
        <v>807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t="s">
        <v>521</v>
      </c>
      <c r="B53" s="49" t="s">
        <v>549</v>
      </c>
      <c r="C53" t="s">
        <v>519</v>
      </c>
      <c r="D53" s="48">
        <v>1361400</v>
      </c>
      <c r="E53" s="51">
        <v>1090800</v>
      </c>
      <c r="F53" s="48">
        <v>228400</v>
      </c>
      <c r="G53" s="48">
        <v>249955</v>
      </c>
    </row>
    <row r="54" spans="1:14" x14ac:dyDescent="0.3">
      <c r="A54" t="s">
        <v>521</v>
      </c>
      <c r="B54" s="49" t="s">
        <v>550</v>
      </c>
      <c r="C54" t="s">
        <v>517</v>
      </c>
      <c r="D54">
        <v>0</v>
      </c>
      <c r="E54" s="50">
        <v>0</v>
      </c>
      <c r="F54">
        <v>0</v>
      </c>
      <c r="G54">
        <v>0</v>
      </c>
    </row>
    <row r="55" spans="1:14" x14ac:dyDescent="0.3">
      <c r="A55" t="s">
        <v>521</v>
      </c>
      <c r="B55" s="49" t="s">
        <v>551</v>
      </c>
      <c r="C55" t="s">
        <v>522</v>
      </c>
      <c r="D55" s="48">
        <v>511300</v>
      </c>
      <c r="E55" s="51">
        <v>450700</v>
      </c>
      <c r="F55" s="48">
        <v>77000</v>
      </c>
      <c r="G55" s="48">
        <v>80851</v>
      </c>
    </row>
    <row r="56" spans="1:14" x14ac:dyDescent="0.3">
      <c r="A56" t="s">
        <v>521</v>
      </c>
      <c r="B56" s="49" t="s">
        <v>552</v>
      </c>
      <c r="C56" t="s">
        <v>526</v>
      </c>
      <c r="D56" s="48">
        <v>252900</v>
      </c>
      <c r="E56" s="51">
        <v>51700</v>
      </c>
      <c r="F56" s="48">
        <v>11400</v>
      </c>
      <c r="G56" s="48">
        <v>24412</v>
      </c>
    </row>
    <row r="57" spans="1:14" x14ac:dyDescent="0.3">
      <c r="A57" t="s">
        <v>521</v>
      </c>
      <c r="B57" s="49" t="s">
        <v>553</v>
      </c>
      <c r="C57" t="s">
        <v>517</v>
      </c>
      <c r="D57" s="48">
        <v>0</v>
      </c>
      <c r="E57" s="51">
        <v>0</v>
      </c>
      <c r="F57" s="48">
        <v>0</v>
      </c>
      <c r="G57" s="48">
        <v>0</v>
      </c>
    </row>
    <row r="58" spans="1:14" x14ac:dyDescent="0.3">
      <c r="A58" t="s">
        <v>521</v>
      </c>
      <c r="B58" s="49" t="s">
        <v>554</v>
      </c>
      <c r="C58" t="s">
        <v>529</v>
      </c>
      <c r="D58" s="48">
        <v>277000</v>
      </c>
      <c r="E58" s="51">
        <v>82400</v>
      </c>
      <c r="F58" s="48">
        <v>11600</v>
      </c>
      <c r="G58" s="48">
        <v>18931</v>
      </c>
    </row>
    <row r="59" spans="1:14" x14ac:dyDescent="0.3">
      <c r="A59" t="s">
        <v>521</v>
      </c>
      <c r="B59" s="49" t="s">
        <v>555</v>
      </c>
      <c r="C59" t="s">
        <v>531</v>
      </c>
      <c r="D59" s="48">
        <v>71400</v>
      </c>
      <c r="E59" s="51">
        <v>18600</v>
      </c>
      <c r="F59" s="48">
        <v>690</v>
      </c>
      <c r="G59" s="48">
        <v>4196</v>
      </c>
    </row>
    <row r="60" spans="1:14" x14ac:dyDescent="0.3">
      <c r="A60" t="s">
        <v>521</v>
      </c>
      <c r="B60" s="49" t="s">
        <v>556</v>
      </c>
      <c r="C60" t="s">
        <v>533</v>
      </c>
      <c r="D60" s="48">
        <v>926800</v>
      </c>
      <c r="E60" s="51">
        <v>428400</v>
      </c>
      <c r="F60" s="48">
        <v>73200</v>
      </c>
      <c r="G60" s="48">
        <v>112727</v>
      </c>
    </row>
    <row r="61" spans="1:14" x14ac:dyDescent="0.3">
      <c r="A61" t="s">
        <v>521</v>
      </c>
      <c r="B61" s="49" t="s">
        <v>154</v>
      </c>
      <c r="C61" t="s">
        <v>522</v>
      </c>
      <c r="D61" s="48">
        <v>785000</v>
      </c>
      <c r="E61" s="51">
        <v>475200</v>
      </c>
      <c r="F61" s="48">
        <v>78000</v>
      </c>
      <c r="G61" s="48">
        <v>90521</v>
      </c>
    </row>
    <row r="62" spans="1:14" x14ac:dyDescent="0.3">
      <c r="A62" t="s">
        <v>521</v>
      </c>
      <c r="B62" s="49" t="s">
        <v>152</v>
      </c>
      <c r="C62" t="s">
        <v>522</v>
      </c>
      <c r="D62" s="48">
        <v>617800</v>
      </c>
      <c r="E62" s="51">
        <v>409400</v>
      </c>
      <c r="F62" s="48">
        <v>66600</v>
      </c>
      <c r="G62" s="48">
        <v>76123</v>
      </c>
    </row>
    <row r="63" spans="1:14" x14ac:dyDescent="0.3">
      <c r="A63" t="s">
        <v>521</v>
      </c>
      <c r="B63" s="49" t="s">
        <v>557</v>
      </c>
      <c r="C63" t="s">
        <v>519</v>
      </c>
      <c r="D63" s="48">
        <v>756700</v>
      </c>
      <c r="E63" s="51">
        <v>444700</v>
      </c>
      <c r="F63" s="48">
        <v>87300</v>
      </c>
      <c r="G63" s="48">
        <v>110404</v>
      </c>
    </row>
    <row r="64" spans="1:14" x14ac:dyDescent="0.3">
      <c r="D64" s="48"/>
      <c r="E64" s="51"/>
      <c r="F64" s="48"/>
      <c r="G64" s="48"/>
    </row>
    <row r="65" spans="4:7" x14ac:dyDescent="0.3">
      <c r="D65" s="48"/>
      <c r="E65" s="51"/>
      <c r="F65" s="48"/>
      <c r="G65" s="48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D219"/>
  <sheetViews>
    <sheetView topLeftCell="A241" zoomScale="85" zoomScaleNormal="85" workbookViewId="0">
      <selection activeCell="B278" sqref="B278"/>
    </sheetView>
  </sheetViews>
  <sheetFormatPr defaultColWidth="9.125" defaultRowHeight="16.5" x14ac:dyDescent="0.3"/>
  <cols>
    <col min="1" max="1" width="4.5" customWidth="1"/>
    <col min="2" max="2" width="28.25" bestFit="1" customWidth="1"/>
    <col min="3" max="3" width="10" bestFit="1" customWidth="1"/>
    <col min="4" max="4" width="15.25" bestFit="1" customWidth="1"/>
    <col min="5" max="5" width="13.25" bestFit="1" customWidth="1"/>
    <col min="6" max="6" width="15.25" bestFit="1" customWidth="1"/>
    <col min="7" max="9" width="12.75" bestFit="1" customWidth="1"/>
    <col min="10" max="10" width="14.875" customWidth="1"/>
    <col min="11" max="11" width="12.5" bestFit="1" customWidth="1"/>
    <col min="12" max="12" width="9.25" bestFit="1" customWidth="1"/>
    <col min="28" max="28" width="9.25" customWidth="1"/>
    <col min="29" max="34" width="12.875" bestFit="1" customWidth="1"/>
    <col min="35" max="36" width="11.5" bestFit="1" customWidth="1"/>
  </cols>
  <sheetData>
    <row r="1" spans="2:2" ht="20.25" x14ac:dyDescent="0.3">
      <c r="B1" s="45" t="s">
        <v>169</v>
      </c>
    </row>
    <row r="32" spans="2:2" ht="21" thickBot="1" x14ac:dyDescent="0.35">
      <c r="B32" s="45" t="s">
        <v>168</v>
      </c>
    </row>
    <row r="33" spans="2:56" s="43" customFormat="1" x14ac:dyDescent="0.3">
      <c r="B33" s="58"/>
      <c r="C33" s="59" t="s">
        <v>76</v>
      </c>
      <c r="D33" s="59" t="s">
        <v>137</v>
      </c>
      <c r="E33" s="59" t="s">
        <v>138</v>
      </c>
      <c r="F33" s="59">
        <v>3</v>
      </c>
      <c r="G33" s="59">
        <v>4</v>
      </c>
      <c r="H33" s="59">
        <v>5</v>
      </c>
      <c r="I33" s="59">
        <v>6</v>
      </c>
      <c r="J33" s="59">
        <v>7</v>
      </c>
      <c r="K33" s="59">
        <v>8</v>
      </c>
      <c r="L33" s="59">
        <v>9</v>
      </c>
      <c r="M33" s="59">
        <v>10</v>
      </c>
      <c r="N33" s="59">
        <v>11</v>
      </c>
      <c r="O33" s="59" t="s">
        <v>139</v>
      </c>
      <c r="P33" s="59">
        <v>13</v>
      </c>
      <c r="Q33" s="59">
        <v>14</v>
      </c>
      <c r="R33" s="59">
        <v>15</v>
      </c>
      <c r="S33" s="59">
        <v>16</v>
      </c>
      <c r="T33" s="59">
        <v>17</v>
      </c>
      <c r="U33" s="59">
        <v>18</v>
      </c>
      <c r="V33" s="59">
        <v>19</v>
      </c>
      <c r="W33" s="59" t="s">
        <v>569</v>
      </c>
      <c r="X33" s="59">
        <v>21</v>
      </c>
      <c r="Y33" s="59">
        <v>22</v>
      </c>
      <c r="Z33" s="59">
        <v>23</v>
      </c>
      <c r="AA33" s="59">
        <v>24</v>
      </c>
      <c r="AB33" s="59">
        <v>25</v>
      </c>
      <c r="AC33" s="59">
        <v>26</v>
      </c>
      <c r="AD33" s="59" t="s">
        <v>570</v>
      </c>
      <c r="AE33" s="59" t="s">
        <v>571</v>
      </c>
      <c r="AF33" s="59">
        <v>29</v>
      </c>
      <c r="AG33" s="59">
        <v>30</v>
      </c>
      <c r="AH33" s="59">
        <v>31</v>
      </c>
      <c r="AI33" s="59">
        <v>32</v>
      </c>
      <c r="AJ33" s="59">
        <v>33</v>
      </c>
      <c r="AK33" s="59">
        <v>34</v>
      </c>
      <c r="AL33" s="59">
        <v>35</v>
      </c>
      <c r="AM33" s="59">
        <v>36</v>
      </c>
      <c r="AN33" s="59" t="s">
        <v>574</v>
      </c>
      <c r="AO33" s="59">
        <v>38</v>
      </c>
      <c r="AP33" s="59">
        <v>39</v>
      </c>
      <c r="AQ33" s="59">
        <v>40</v>
      </c>
      <c r="AR33" s="59">
        <v>41</v>
      </c>
      <c r="AS33" s="59">
        <v>42</v>
      </c>
      <c r="AT33" s="59">
        <v>43</v>
      </c>
      <c r="AU33" s="59">
        <v>44</v>
      </c>
      <c r="AV33" s="59">
        <v>46</v>
      </c>
      <c r="AW33" s="59">
        <v>47</v>
      </c>
      <c r="AX33" s="59">
        <v>48</v>
      </c>
      <c r="AY33" s="59" t="s">
        <v>566</v>
      </c>
      <c r="AZ33" s="59" t="s">
        <v>567</v>
      </c>
      <c r="BA33" s="59">
        <v>51</v>
      </c>
      <c r="BB33" s="59">
        <v>52</v>
      </c>
      <c r="BC33" s="59">
        <v>53</v>
      </c>
      <c r="BD33" s="60" t="s">
        <v>568</v>
      </c>
    </row>
    <row r="34" spans="2:56" x14ac:dyDescent="0.3">
      <c r="B34" s="61" t="s">
        <v>77</v>
      </c>
      <c r="BD34" s="62"/>
    </row>
    <row r="35" spans="2:56" x14ac:dyDescent="0.3">
      <c r="B35" s="61" t="s">
        <v>78</v>
      </c>
      <c r="F35" t="s">
        <v>140</v>
      </c>
      <c r="G35" t="s">
        <v>141</v>
      </c>
      <c r="H35" t="s">
        <v>142</v>
      </c>
      <c r="I35" t="s">
        <v>143</v>
      </c>
      <c r="J35" t="s">
        <v>144</v>
      </c>
      <c r="K35" t="s">
        <v>141</v>
      </c>
      <c r="L35" t="s">
        <v>145</v>
      </c>
      <c r="M35" t="s">
        <v>146</v>
      </c>
      <c r="N35" t="s">
        <v>147</v>
      </c>
      <c r="O35" t="s">
        <v>148</v>
      </c>
      <c r="P35" t="s">
        <v>148</v>
      </c>
      <c r="Q35" t="s">
        <v>149</v>
      </c>
      <c r="R35" t="s">
        <v>151</v>
      </c>
      <c r="S35" t="s">
        <v>126</v>
      </c>
      <c r="T35" t="s">
        <v>126</v>
      </c>
      <c r="U35" t="s">
        <v>152</v>
      </c>
      <c r="V35" t="s">
        <v>124</v>
      </c>
      <c r="W35" t="s">
        <v>153</v>
      </c>
      <c r="X35" t="s">
        <v>153</v>
      </c>
      <c r="Y35" t="s">
        <v>124</v>
      </c>
      <c r="Z35" t="s">
        <v>154</v>
      </c>
      <c r="AA35" t="s">
        <v>150</v>
      </c>
      <c r="AB35" t="s">
        <v>79</v>
      </c>
      <c r="AC35" t="s">
        <v>125</v>
      </c>
      <c r="AD35" t="s">
        <v>155</v>
      </c>
      <c r="AE35" t="s">
        <v>155</v>
      </c>
      <c r="AF35" t="s">
        <v>79</v>
      </c>
      <c r="AG35" t="s">
        <v>156</v>
      </c>
      <c r="AH35" t="s">
        <v>80</v>
      </c>
      <c r="AI35" t="s">
        <v>156</v>
      </c>
      <c r="AJ35" t="s">
        <v>154</v>
      </c>
      <c r="AK35" t="s">
        <v>152</v>
      </c>
      <c r="AL35" t="s">
        <v>151</v>
      </c>
      <c r="AM35" t="s">
        <v>160</v>
      </c>
      <c r="AN35" t="s">
        <v>160</v>
      </c>
      <c r="AO35" t="s">
        <v>80</v>
      </c>
      <c r="AP35" t="s">
        <v>158</v>
      </c>
      <c r="AQ35" t="s">
        <v>156</v>
      </c>
      <c r="AR35" t="s">
        <v>154</v>
      </c>
      <c r="AS35" t="s">
        <v>151</v>
      </c>
      <c r="AT35" t="s">
        <v>157</v>
      </c>
      <c r="AU35" t="s">
        <v>157</v>
      </c>
      <c r="AV35" t="s">
        <v>154</v>
      </c>
      <c r="AW35" t="s">
        <v>159</v>
      </c>
      <c r="AX35" t="s">
        <v>159</v>
      </c>
      <c r="AY35" t="s">
        <v>144</v>
      </c>
      <c r="BA35" t="s">
        <v>161</v>
      </c>
      <c r="BB35" t="s">
        <v>162</v>
      </c>
      <c r="BC35" t="s">
        <v>163</v>
      </c>
      <c r="BD35" s="62" t="s">
        <v>142</v>
      </c>
    </row>
    <row r="36" spans="2:56" x14ac:dyDescent="0.3">
      <c r="B36" s="61" t="s">
        <v>81</v>
      </c>
      <c r="D36" t="s">
        <v>140</v>
      </c>
      <c r="E36" t="s">
        <v>140</v>
      </c>
      <c r="F36" t="s">
        <v>141</v>
      </c>
      <c r="G36" t="s">
        <v>142</v>
      </c>
      <c r="H36" t="s">
        <v>143</v>
      </c>
      <c r="I36" t="s">
        <v>144</v>
      </c>
      <c r="J36" t="s">
        <v>141</v>
      </c>
      <c r="K36" t="s">
        <v>145</v>
      </c>
      <c r="L36" t="s">
        <v>146</v>
      </c>
      <c r="M36" t="s">
        <v>147</v>
      </c>
      <c r="N36" t="s">
        <v>148</v>
      </c>
      <c r="P36" t="s">
        <v>149</v>
      </c>
      <c r="Q36" t="s">
        <v>151</v>
      </c>
      <c r="R36" t="s">
        <v>126</v>
      </c>
      <c r="S36" t="s">
        <v>148</v>
      </c>
      <c r="T36" t="s">
        <v>152</v>
      </c>
      <c r="U36" t="s">
        <v>124</v>
      </c>
      <c r="V36" t="s">
        <v>153</v>
      </c>
      <c r="X36" t="s">
        <v>124</v>
      </c>
      <c r="Y36" t="s">
        <v>154</v>
      </c>
      <c r="Z36" t="s">
        <v>150</v>
      </c>
      <c r="AA36" t="s">
        <v>79</v>
      </c>
      <c r="AB36" t="s">
        <v>125</v>
      </c>
      <c r="AC36" t="s">
        <v>155</v>
      </c>
      <c r="AF36" t="s">
        <v>156</v>
      </c>
      <c r="AG36" t="s">
        <v>80</v>
      </c>
      <c r="AH36" t="s">
        <v>156</v>
      </c>
      <c r="AI36" t="s">
        <v>154</v>
      </c>
      <c r="AJ36" t="s">
        <v>152</v>
      </c>
      <c r="AK36" t="s">
        <v>151</v>
      </c>
      <c r="AL36" t="s">
        <v>160</v>
      </c>
      <c r="AM36" t="s">
        <v>140</v>
      </c>
      <c r="AO36" t="s">
        <v>158</v>
      </c>
      <c r="AP36" t="s">
        <v>156</v>
      </c>
      <c r="AQ36" t="s">
        <v>154</v>
      </c>
      <c r="AR36" t="s">
        <v>151</v>
      </c>
      <c r="AS36" t="s">
        <v>157</v>
      </c>
      <c r="AT36" t="s">
        <v>140</v>
      </c>
      <c r="AV36" t="s">
        <v>159</v>
      </c>
      <c r="AW36" t="s">
        <v>140</v>
      </c>
      <c r="AY36" t="s">
        <v>161</v>
      </c>
      <c r="AZ36" t="s">
        <v>161</v>
      </c>
      <c r="BA36" t="s">
        <v>162</v>
      </c>
      <c r="BB36" t="s">
        <v>163</v>
      </c>
      <c r="BC36" t="s">
        <v>142</v>
      </c>
      <c r="BD36" s="62"/>
    </row>
    <row r="37" spans="2:56" x14ac:dyDescent="0.3">
      <c r="B37" s="61" t="s">
        <v>82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83</v>
      </c>
      <c r="V37" t="s">
        <v>83</v>
      </c>
      <c r="W37" t="s">
        <v>83</v>
      </c>
      <c r="X37" t="s">
        <v>83</v>
      </c>
      <c r="Y37" t="s">
        <v>83</v>
      </c>
      <c r="Z37" t="s">
        <v>83</v>
      </c>
      <c r="AA37" t="s">
        <v>83</v>
      </c>
      <c r="AB37" t="s">
        <v>83</v>
      </c>
      <c r="AC37" t="s">
        <v>83</v>
      </c>
      <c r="AD37" t="s">
        <v>83</v>
      </c>
      <c r="AE37" t="s">
        <v>83</v>
      </c>
      <c r="AF37" t="s">
        <v>83</v>
      </c>
      <c r="AG37" t="s">
        <v>83</v>
      </c>
      <c r="AH37" t="s">
        <v>83</v>
      </c>
      <c r="AI37" t="s">
        <v>83</v>
      </c>
      <c r="AJ37" t="s">
        <v>83</v>
      </c>
      <c r="AK37" t="s">
        <v>83</v>
      </c>
      <c r="AL37" t="s">
        <v>83</v>
      </c>
      <c r="AM37" t="s">
        <v>83</v>
      </c>
      <c r="AN37" t="s">
        <v>83</v>
      </c>
      <c r="AO37" t="s">
        <v>83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83</v>
      </c>
      <c r="AV37" t="s">
        <v>83</v>
      </c>
      <c r="AW37" t="s">
        <v>83</v>
      </c>
      <c r="AX37" t="s">
        <v>83</v>
      </c>
      <c r="AY37" t="s">
        <v>83</v>
      </c>
      <c r="AZ37" t="s">
        <v>83</v>
      </c>
      <c r="BA37" t="s">
        <v>83</v>
      </c>
      <c r="BB37" t="s">
        <v>83</v>
      </c>
      <c r="BC37" t="s">
        <v>83</v>
      </c>
      <c r="BD37" s="62" t="s">
        <v>83</v>
      </c>
    </row>
    <row r="38" spans="2:56" x14ac:dyDescent="0.3">
      <c r="B38" s="61" t="s">
        <v>84</v>
      </c>
      <c r="BD38" s="62"/>
    </row>
    <row r="39" spans="2:56" x14ac:dyDescent="0.3">
      <c r="B39" s="61" t="s">
        <v>85</v>
      </c>
      <c r="C39" t="s">
        <v>86</v>
      </c>
      <c r="D39">
        <v>68.076992165478401</v>
      </c>
      <c r="E39">
        <v>0</v>
      </c>
      <c r="O39">
        <v>215.648935935846</v>
      </c>
      <c r="W39">
        <v>7421.0545487878899</v>
      </c>
      <c r="AD39">
        <v>60265.013731613202</v>
      </c>
      <c r="AE39">
        <v>0</v>
      </c>
      <c r="AN39">
        <v>58212.700176908802</v>
      </c>
      <c r="AZ39">
        <v>1791.9328</v>
      </c>
      <c r="BD39" s="62"/>
    </row>
    <row r="40" spans="2:56" x14ac:dyDescent="0.3">
      <c r="B40" s="61" t="s">
        <v>87</v>
      </c>
      <c r="BD40" s="62"/>
    </row>
    <row r="41" spans="2:56" x14ac:dyDescent="0.3">
      <c r="B41" s="61" t="s">
        <v>88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O41" t="s">
        <v>123</v>
      </c>
      <c r="P41" t="s">
        <v>89</v>
      </c>
      <c r="Q41" t="s">
        <v>89</v>
      </c>
      <c r="S41" t="s">
        <v>123</v>
      </c>
      <c r="T41" t="s">
        <v>89</v>
      </c>
      <c r="V41" t="s">
        <v>123</v>
      </c>
      <c r="W41" t="s">
        <v>123</v>
      </c>
      <c r="X41" t="s">
        <v>89</v>
      </c>
      <c r="Y41" t="s">
        <v>89</v>
      </c>
      <c r="AB41" t="s">
        <v>123</v>
      </c>
      <c r="AC41" t="s">
        <v>123</v>
      </c>
      <c r="AD41" t="s">
        <v>123</v>
      </c>
      <c r="AE41" t="s">
        <v>123</v>
      </c>
      <c r="AF41" t="s">
        <v>89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123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123</v>
      </c>
      <c r="AZ41" t="s">
        <v>89</v>
      </c>
      <c r="BC41" t="s">
        <v>89</v>
      </c>
      <c r="BD41" s="62" t="s">
        <v>89</v>
      </c>
    </row>
    <row r="42" spans="2:56" x14ac:dyDescent="0.3">
      <c r="B42" s="61" t="s">
        <v>90</v>
      </c>
      <c r="C42" t="s">
        <v>91</v>
      </c>
      <c r="D42">
        <v>30</v>
      </c>
      <c r="E42">
        <v>1114</v>
      </c>
      <c r="F42">
        <v>-10.554718310863</v>
      </c>
      <c r="G42">
        <v>660.59125790400901</v>
      </c>
      <c r="H42">
        <v>732.96885333491002</v>
      </c>
      <c r="I42">
        <v>1230</v>
      </c>
      <c r="J42">
        <v>1229.9999980581499</v>
      </c>
      <c r="K42">
        <v>670.59853065803202</v>
      </c>
      <c r="L42">
        <v>30</v>
      </c>
      <c r="M42">
        <v>451.57344253476998</v>
      </c>
      <c r="N42">
        <v>30</v>
      </c>
      <c r="O42">
        <v>30</v>
      </c>
      <c r="P42">
        <v>30</v>
      </c>
      <c r="Q42">
        <v>72.178213156205999</v>
      </c>
      <c r="R42">
        <v>5</v>
      </c>
      <c r="S42">
        <v>5</v>
      </c>
      <c r="T42">
        <v>5</v>
      </c>
      <c r="U42">
        <v>-60</v>
      </c>
      <c r="V42">
        <v>-60</v>
      </c>
      <c r="W42">
        <v>250.686007482881</v>
      </c>
      <c r="X42">
        <v>-5.3203209943679903</v>
      </c>
      <c r="Y42">
        <v>-60</v>
      </c>
      <c r="Z42">
        <v>-78.159330918329005</v>
      </c>
      <c r="AA42">
        <v>-167</v>
      </c>
      <c r="AB42">
        <v>-140</v>
      </c>
      <c r="AC42">
        <v>-47.207087832329997</v>
      </c>
      <c r="AD42">
        <v>-104.13483006680799</v>
      </c>
      <c r="AE42">
        <v>-85.106054270639007</v>
      </c>
      <c r="AF42">
        <v>-140</v>
      </c>
      <c r="AG42">
        <v>-152.456815400903</v>
      </c>
      <c r="AH42">
        <v>-167</v>
      </c>
      <c r="AI42">
        <v>-157</v>
      </c>
      <c r="AJ42">
        <v>-157</v>
      </c>
      <c r="AK42">
        <v>-79.808846634177996</v>
      </c>
      <c r="AL42">
        <v>-2</v>
      </c>
      <c r="AM42">
        <v>-2</v>
      </c>
      <c r="AN42">
        <v>743</v>
      </c>
      <c r="AO42">
        <v>-167</v>
      </c>
      <c r="AP42">
        <v>-169.13916424990899</v>
      </c>
      <c r="AQ42">
        <v>-162</v>
      </c>
      <c r="AR42">
        <v>-123</v>
      </c>
      <c r="AS42">
        <v>-96.007383576565999</v>
      </c>
      <c r="AT42">
        <v>-96.007383576565999</v>
      </c>
      <c r="AU42">
        <v>-96.007383576565999</v>
      </c>
      <c r="AV42">
        <v>-71</v>
      </c>
      <c r="AW42">
        <v>-71</v>
      </c>
      <c r="AX42">
        <v>-71</v>
      </c>
      <c r="AY42">
        <v>1229.9999980581499</v>
      </c>
      <c r="AZ42">
        <v>30</v>
      </c>
      <c r="BA42">
        <v>876.49077165190999</v>
      </c>
      <c r="BB42">
        <v>35</v>
      </c>
      <c r="BC42">
        <v>7712.0183112401701</v>
      </c>
      <c r="BD42" s="62">
        <v>742.96481970877005</v>
      </c>
    </row>
    <row r="43" spans="2:56" x14ac:dyDescent="0.3">
      <c r="B43" s="61" t="s">
        <v>92</v>
      </c>
      <c r="C43" t="s">
        <v>93</v>
      </c>
      <c r="D43">
        <v>1.0129999999999999</v>
      </c>
      <c r="E43">
        <v>1.0129999999999999</v>
      </c>
      <c r="F43">
        <v>1.0129999999999999</v>
      </c>
      <c r="G43">
        <v>1.0129999999999999</v>
      </c>
      <c r="H43">
        <v>1.0129999999999999</v>
      </c>
      <c r="I43">
        <v>1.0129999999999999</v>
      </c>
      <c r="J43">
        <v>1.0129999999999999</v>
      </c>
      <c r="K43">
        <v>1.0129999999999999</v>
      </c>
      <c r="L43">
        <v>1</v>
      </c>
      <c r="M43">
        <v>20</v>
      </c>
      <c r="N43">
        <v>20</v>
      </c>
      <c r="O43">
        <v>20</v>
      </c>
      <c r="P43">
        <v>20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10</v>
      </c>
      <c r="AD43">
        <v>1.0129999999999999</v>
      </c>
      <c r="AE43">
        <v>1.0129999999999999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1.0129999999999999</v>
      </c>
      <c r="AQ43">
        <v>1.0129999999999999</v>
      </c>
      <c r="AR43">
        <v>1.0129999999999999</v>
      </c>
      <c r="AS43">
        <v>1.0129999999999999</v>
      </c>
      <c r="AT43">
        <v>1.0129999999999999</v>
      </c>
      <c r="AU43">
        <v>1.0129999999999999</v>
      </c>
      <c r="AV43">
        <v>10</v>
      </c>
      <c r="AW43">
        <v>10</v>
      </c>
      <c r="AX43">
        <v>10</v>
      </c>
      <c r="AY43">
        <v>1.0129999999999999</v>
      </c>
      <c r="AZ43">
        <v>10</v>
      </c>
      <c r="BA43">
        <v>1.0129999999999999</v>
      </c>
      <c r="BB43">
        <v>1.0129999999999999</v>
      </c>
      <c r="BC43">
        <v>1.0129999999999999</v>
      </c>
      <c r="BD43" s="62">
        <v>1.0129999999999999</v>
      </c>
    </row>
    <row r="44" spans="2:56" x14ac:dyDescent="0.3">
      <c r="B44" s="61" t="s">
        <v>94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0.99988502070910201</v>
      </c>
      <c r="O44">
        <v>0</v>
      </c>
      <c r="P44">
        <v>1</v>
      </c>
      <c r="Q44">
        <v>1</v>
      </c>
      <c r="R44">
        <v>0.9999523733597</v>
      </c>
      <c r="S44">
        <v>0</v>
      </c>
      <c r="T44">
        <v>1</v>
      </c>
      <c r="U44">
        <v>0.99928792859868298</v>
      </c>
      <c r="V44">
        <v>0</v>
      </c>
      <c r="W44">
        <v>0</v>
      </c>
      <c r="X44">
        <v>1</v>
      </c>
      <c r="Y44">
        <v>1</v>
      </c>
      <c r="Z44">
        <v>0.99996672416276899</v>
      </c>
      <c r="AA44">
        <v>0.87922871306353501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0.98156340709351098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5.0558343091454398E-2</v>
      </c>
      <c r="AQ44">
        <v>0.370954385528109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0</v>
      </c>
      <c r="AZ44">
        <v>1</v>
      </c>
      <c r="BA44">
        <v>0.50143221576628305</v>
      </c>
      <c r="BB44">
        <v>0.50143221576628305</v>
      </c>
      <c r="BC44">
        <v>1</v>
      </c>
      <c r="BD44" s="62">
        <v>1</v>
      </c>
    </row>
    <row r="45" spans="2:56" x14ac:dyDescent="0.3">
      <c r="B45" s="61" t="s">
        <v>95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1.14979290898209E-4</v>
      </c>
      <c r="O45">
        <v>1</v>
      </c>
      <c r="P45">
        <v>0</v>
      </c>
      <c r="Q45">
        <v>0</v>
      </c>
      <c r="R45" s="44">
        <v>4.7626640299891498E-5</v>
      </c>
      <c r="S45" s="44">
        <v>1</v>
      </c>
      <c r="T45">
        <v>0</v>
      </c>
      <c r="U45">
        <v>7.12071401316683E-4</v>
      </c>
      <c r="V45">
        <v>1</v>
      </c>
      <c r="W45" s="44">
        <v>1</v>
      </c>
      <c r="X45">
        <v>0</v>
      </c>
      <c r="Y45">
        <v>0</v>
      </c>
      <c r="Z45" s="44">
        <v>3.3275837230561899E-5</v>
      </c>
      <c r="AA45">
        <v>0.12077128693646499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1.8436592906489399E-2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0.94944165690854598</v>
      </c>
      <c r="AQ45">
        <v>0.629045614471891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0.498567784233718</v>
      </c>
      <c r="BB45">
        <v>0.498567784233718</v>
      </c>
      <c r="BC45">
        <v>0</v>
      </c>
      <c r="BD45" s="62">
        <v>0</v>
      </c>
    </row>
    <row r="46" spans="2:56" x14ac:dyDescent="0.3">
      <c r="B46" s="61" t="s">
        <v>96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s="62">
        <v>0</v>
      </c>
    </row>
    <row r="47" spans="2:56" x14ac:dyDescent="0.3">
      <c r="B47" s="61" t="s">
        <v>97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0.99676789727131998</v>
      </c>
      <c r="O47">
        <v>0</v>
      </c>
      <c r="P47">
        <v>1.0000005210126499</v>
      </c>
      <c r="Q47">
        <v>1</v>
      </c>
      <c r="R47">
        <v>0.99878418553967896</v>
      </c>
      <c r="S47">
        <v>0</v>
      </c>
      <c r="T47">
        <v>1</v>
      </c>
      <c r="U47">
        <v>0.98822425903073197</v>
      </c>
      <c r="V47">
        <v>0</v>
      </c>
      <c r="W47">
        <v>0</v>
      </c>
      <c r="X47">
        <v>0.99999977243531302</v>
      </c>
      <c r="Y47">
        <v>1</v>
      </c>
      <c r="Z47">
        <v>0.99949147797683402</v>
      </c>
      <c r="AA47">
        <v>0.49826447362730603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0.91394059661713301</v>
      </c>
      <c r="AH47">
        <v>1.0000000139404801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2.8881220288437301E-2</v>
      </c>
      <c r="AQ47">
        <v>0.35068167428657299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1</v>
      </c>
      <c r="BA47">
        <v>0.72821883217821204</v>
      </c>
      <c r="BB47">
        <v>0.72821883217821204</v>
      </c>
      <c r="BC47">
        <v>1</v>
      </c>
      <c r="BD47" s="62">
        <v>1</v>
      </c>
    </row>
    <row r="48" spans="2:56" x14ac:dyDescent="0.3">
      <c r="B48" s="61" t="s">
        <v>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3.2321027286801298E-3</v>
      </c>
      <c r="O48">
        <v>1</v>
      </c>
      <c r="P48" s="44">
        <v>0</v>
      </c>
      <c r="Q48">
        <v>0</v>
      </c>
      <c r="R48">
        <v>1.21581446032082E-3</v>
      </c>
      <c r="S48">
        <v>1</v>
      </c>
      <c r="T48">
        <v>0</v>
      </c>
      <c r="U48">
        <v>1.17757409692679E-2</v>
      </c>
      <c r="V48">
        <v>1</v>
      </c>
      <c r="W48">
        <v>1</v>
      </c>
      <c r="X48" s="44">
        <v>2.2756468742723999E-7</v>
      </c>
      <c r="Y48">
        <v>0</v>
      </c>
      <c r="Z48" s="44">
        <v>5.0852202316575802E-4</v>
      </c>
      <c r="AA48">
        <v>0.50173552637269303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8.6059403382866898E-2</v>
      </c>
      <c r="AH48" s="44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0.97111877971156302</v>
      </c>
      <c r="AQ48">
        <v>0.64931832571342696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0.27178116782178802</v>
      </c>
      <c r="BB48">
        <v>0.27178116782178802</v>
      </c>
      <c r="BC48">
        <v>0</v>
      </c>
      <c r="BD48" s="62">
        <v>0</v>
      </c>
    </row>
    <row r="49" spans="2:56" x14ac:dyDescent="0.3">
      <c r="B49" s="61" t="s">
        <v>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s="62">
        <v>0</v>
      </c>
    </row>
    <row r="50" spans="2:56" x14ac:dyDescent="0.3">
      <c r="B50" s="61" t="s">
        <v>100</v>
      </c>
      <c r="C50" t="s">
        <v>101</v>
      </c>
      <c r="D50">
        <v>-17.760466837021902</v>
      </c>
      <c r="E50">
        <v>7.8047124892383204</v>
      </c>
      <c r="F50">
        <v>-3.4822334007431901</v>
      </c>
      <c r="G50">
        <v>1.90328673537032</v>
      </c>
      <c r="H50">
        <v>2.55675056424458</v>
      </c>
      <c r="I50">
        <v>7.3823902660979801</v>
      </c>
      <c r="J50">
        <v>8.8733735968099996</v>
      </c>
      <c r="K50">
        <v>3.7080777857520002</v>
      </c>
      <c r="L50">
        <v>-1.3828293928842199</v>
      </c>
      <c r="M50">
        <v>1.8696016793686401</v>
      </c>
      <c r="N50">
        <v>-1.3918692303289699</v>
      </c>
      <c r="O50">
        <v>22.6343851557485</v>
      </c>
      <c r="P50">
        <v>-1.39440974647085</v>
      </c>
      <c r="Q50">
        <v>-1.08905864827974</v>
      </c>
      <c r="R50">
        <v>-1.57989604085507</v>
      </c>
      <c r="S50">
        <v>19.327179785695598</v>
      </c>
      <c r="T50">
        <v>-1.5808918220609001</v>
      </c>
      <c r="U50">
        <v>-2.0523746862222998</v>
      </c>
      <c r="V50">
        <v>12.107500210165499</v>
      </c>
      <c r="W50">
        <v>21.0983338339685</v>
      </c>
      <c r="X50">
        <v>31.6532169701368</v>
      </c>
      <c r="Y50">
        <v>-2.0596900982571298</v>
      </c>
      <c r="Z50">
        <v>-2.1894437841141601</v>
      </c>
      <c r="AA50">
        <v>-3.0777336363423</v>
      </c>
      <c r="AB50">
        <v>5.1492127325000299</v>
      </c>
      <c r="AC50">
        <v>30.0417057250834</v>
      </c>
      <c r="AD50">
        <v>8.2024594764212804</v>
      </c>
      <c r="AE50">
        <v>45.943854691050902</v>
      </c>
      <c r="AF50">
        <v>-3.0664649154317698</v>
      </c>
      <c r="AG50">
        <v>-3.1887880868742999</v>
      </c>
      <c r="AH50">
        <v>-1.97049714723235</v>
      </c>
      <c r="AI50">
        <v>-1.8995756366504699</v>
      </c>
      <c r="AJ50">
        <v>-1.8995756366504699</v>
      </c>
      <c r="AK50">
        <v>-1.36582437686136</v>
      </c>
      <c r="AL50">
        <v>-0.82874750717772305</v>
      </c>
      <c r="AM50">
        <v>-0.82874750717772305</v>
      </c>
      <c r="AN50">
        <v>-0.82874750717772305</v>
      </c>
      <c r="AO50">
        <v>-20.001742417156201</v>
      </c>
      <c r="AP50">
        <v>-20.001742417156201</v>
      </c>
      <c r="AQ50">
        <v>-19.281554552119001</v>
      </c>
      <c r="AR50">
        <v>-17.6952011243438</v>
      </c>
      <c r="AS50">
        <v>-17.478662686096399</v>
      </c>
      <c r="AT50">
        <v>-17.478662686096399</v>
      </c>
      <c r="AU50">
        <v>-17.478662686096399</v>
      </c>
      <c r="AV50">
        <v>-18.149158576376301</v>
      </c>
      <c r="AW50">
        <v>-18.149158576376301</v>
      </c>
      <c r="AX50">
        <v>-18.149158576376301</v>
      </c>
      <c r="AY50">
        <v>45.206830345245102</v>
      </c>
      <c r="AZ50">
        <v>1.28478680193707E-2</v>
      </c>
      <c r="BA50">
        <v>22.545111572387199</v>
      </c>
      <c r="BB50">
        <v>9.1850740129391699</v>
      </c>
      <c r="BC50">
        <v>18.317678290579401</v>
      </c>
      <c r="BD50" s="62">
        <v>-85.290835672604899</v>
      </c>
    </row>
    <row r="51" spans="2:56" x14ac:dyDescent="0.3">
      <c r="B51" s="61" t="s">
        <v>102</v>
      </c>
      <c r="C51" t="s">
        <v>103</v>
      </c>
      <c r="D51">
        <v>-1107.0705313189201</v>
      </c>
      <c r="E51">
        <v>3871.6156166231699</v>
      </c>
      <c r="F51">
        <v>-751.30357054814397</v>
      </c>
      <c r="G51">
        <v>410.64051586991701</v>
      </c>
      <c r="H51">
        <v>551.62753522149603</v>
      </c>
      <c r="I51">
        <v>1592.77553449334</v>
      </c>
      <c r="J51">
        <v>2029.2581138964699</v>
      </c>
      <c r="K51">
        <v>848.002944043924</v>
      </c>
      <c r="L51">
        <v>-316.24023659430401</v>
      </c>
      <c r="M51">
        <v>427.56053672497097</v>
      </c>
      <c r="N51">
        <v>-318.30756344388601</v>
      </c>
      <c r="O51">
        <v>184.21399385024799</v>
      </c>
      <c r="P51">
        <v>-319.83095524494399</v>
      </c>
      <c r="Q51">
        <v>-249.79362678626899</v>
      </c>
      <c r="R51">
        <v>-362.37530698079001</v>
      </c>
      <c r="S51">
        <v>173.65256959489599</v>
      </c>
      <c r="T51">
        <v>-363.02781074778102</v>
      </c>
      <c r="U51">
        <v>-471.29669391429502</v>
      </c>
      <c r="V51">
        <v>168.16529842677201</v>
      </c>
      <c r="W51">
        <v>269.07494544409798</v>
      </c>
      <c r="X51">
        <v>1347.2084288615199</v>
      </c>
      <c r="Y51">
        <v>-478.09565585985001</v>
      </c>
      <c r="Z51">
        <v>-508.21410600559898</v>
      </c>
      <c r="AA51">
        <v>-714.40411481033198</v>
      </c>
      <c r="AB51">
        <v>238.01889112868599</v>
      </c>
      <c r="AC51">
        <v>1107.9662671722999</v>
      </c>
      <c r="AD51">
        <v>292.43373912008701</v>
      </c>
      <c r="AE51">
        <v>1742.9977202974601</v>
      </c>
      <c r="AF51">
        <v>-856.00154673760596</v>
      </c>
      <c r="AG51">
        <v>-890.14797490305205</v>
      </c>
      <c r="AH51">
        <v>-782.46488552332596</v>
      </c>
      <c r="AI51">
        <v>-754.30265664796696</v>
      </c>
      <c r="AJ51">
        <v>-754.30265664796696</v>
      </c>
      <c r="AK51">
        <v>-542.35532194849498</v>
      </c>
      <c r="AL51">
        <v>-329.08742052347401</v>
      </c>
      <c r="AM51">
        <v>-329.08742052347401</v>
      </c>
      <c r="AN51">
        <v>-329.08742052347401</v>
      </c>
      <c r="AO51">
        <v>-1253.20579810664</v>
      </c>
      <c r="AP51">
        <v>-1253.20579810664</v>
      </c>
      <c r="AQ51">
        <v>-1208.0825488732901</v>
      </c>
      <c r="AR51">
        <v>-1108.6898423744301</v>
      </c>
      <c r="AS51">
        <v>-1095.1226630425001</v>
      </c>
      <c r="AT51">
        <v>-1095.1226630425001</v>
      </c>
      <c r="AU51">
        <v>-1095.1226630425001</v>
      </c>
      <c r="AV51">
        <v>-1160.30232543641</v>
      </c>
      <c r="AW51">
        <v>-1160.30232543641</v>
      </c>
      <c r="AX51">
        <v>-1160.30232543641</v>
      </c>
      <c r="AY51">
        <v>3763.785725189</v>
      </c>
      <c r="AZ51">
        <v>0.401510932265293</v>
      </c>
      <c r="BA51">
        <v>1023.2184676450401</v>
      </c>
      <c r="BB51">
        <v>416.86807920865601</v>
      </c>
      <c r="BC51">
        <v>416.86807920865601</v>
      </c>
      <c r="BD51" s="62">
        <v>-1941.02256175257</v>
      </c>
    </row>
    <row r="52" spans="2:56" x14ac:dyDescent="0.3">
      <c r="B52" s="61" t="s">
        <v>104</v>
      </c>
      <c r="C52" t="s">
        <v>105</v>
      </c>
      <c r="D52">
        <v>-19.118113443029198</v>
      </c>
      <c r="E52">
        <v>10.905624186215899</v>
      </c>
      <c r="F52">
        <v>-3.4787063246655001</v>
      </c>
      <c r="G52">
        <v>6.4602849834111904</v>
      </c>
      <c r="H52">
        <v>7.1342323072516098</v>
      </c>
      <c r="I52">
        <v>11.0172059612498</v>
      </c>
      <c r="J52">
        <v>11.874366951302701</v>
      </c>
      <c r="K52">
        <v>7.5963094795581396</v>
      </c>
      <c r="L52">
        <v>-1.25207005840685</v>
      </c>
      <c r="M52">
        <v>-0.54940967612587999</v>
      </c>
      <c r="N52">
        <v>-7.2359701871090696</v>
      </c>
      <c r="O52">
        <v>-81.268213067721902</v>
      </c>
      <c r="P52">
        <v>-7.2276635883442397</v>
      </c>
      <c r="Q52">
        <v>-7.0938239596068797</v>
      </c>
      <c r="R52">
        <v>-8.6739675136712098</v>
      </c>
      <c r="S52">
        <v>-77.581367043600693</v>
      </c>
      <c r="T52">
        <v>-8.6706855294299192</v>
      </c>
      <c r="U52">
        <v>-10.601095242610899</v>
      </c>
      <c r="V52">
        <v>-61.587866030841099</v>
      </c>
      <c r="W52">
        <v>-37.981172200290501</v>
      </c>
      <c r="X52">
        <v>-3.6318097148139801</v>
      </c>
      <c r="Y52">
        <v>-10.5638511133024</v>
      </c>
      <c r="Z52">
        <v>-11.200091085809399</v>
      </c>
      <c r="AA52">
        <v>-17.4909129799384</v>
      </c>
      <c r="AB52">
        <v>-32.771087438691403</v>
      </c>
      <c r="AC52">
        <v>-18.2842156027078</v>
      </c>
      <c r="AD52">
        <v>-36.752002744430101</v>
      </c>
      <c r="AE52">
        <v>-13.676644309683599</v>
      </c>
      <c r="AF52">
        <v>-13.861707335658</v>
      </c>
      <c r="AG52">
        <v>-14.831406710194001</v>
      </c>
      <c r="AH52">
        <v>-14.3009224918139</v>
      </c>
      <c r="AI52">
        <v>-13.662362525999599</v>
      </c>
      <c r="AJ52">
        <v>-13.662362525999599</v>
      </c>
      <c r="AK52">
        <v>-10.1350538337482</v>
      </c>
      <c r="AL52">
        <v>-7.8013408138367497</v>
      </c>
      <c r="AM52">
        <v>-7.8013408138367497</v>
      </c>
      <c r="AN52">
        <v>-7.8013408138367497</v>
      </c>
      <c r="AO52">
        <v>-44.248748826956898</v>
      </c>
      <c r="AP52">
        <v>-43.875385399113298</v>
      </c>
      <c r="AQ52">
        <v>-37.296421441254097</v>
      </c>
      <c r="AR52">
        <v>-23.6249659064854</v>
      </c>
      <c r="AS52">
        <v>-22.298707646070898</v>
      </c>
      <c r="AT52">
        <v>-22.298707646070898</v>
      </c>
      <c r="AU52">
        <v>-22.298707646070898</v>
      </c>
      <c r="AV52">
        <v>-26.401582121882601</v>
      </c>
      <c r="AW52">
        <v>-26.401582121882601</v>
      </c>
      <c r="AX52">
        <v>-26.401582121882601</v>
      </c>
      <c r="AY52">
        <v>2.0552916354106801</v>
      </c>
      <c r="AZ52">
        <v>-4.48833151868876</v>
      </c>
      <c r="BA52">
        <v>3.6736486192353301</v>
      </c>
      <c r="BB52">
        <v>-17.970272787341699</v>
      </c>
      <c r="BC52">
        <v>44.258827510472301</v>
      </c>
      <c r="BD52" s="62">
        <v>14.1977662510432</v>
      </c>
    </row>
    <row r="53" spans="2:56" x14ac:dyDescent="0.3">
      <c r="B53" s="61" t="s">
        <v>106</v>
      </c>
      <c r="C53" t="s">
        <v>107</v>
      </c>
      <c r="D53">
        <v>-1.1916972792106399</v>
      </c>
      <c r="E53">
        <v>5.4098578220012703</v>
      </c>
      <c r="F53">
        <v>-0.75054259201919404</v>
      </c>
      <c r="G53">
        <v>1.39382821776378</v>
      </c>
      <c r="H53">
        <v>1.5392346200614</v>
      </c>
      <c r="I53">
        <v>2.3769992483515598</v>
      </c>
      <c r="J53">
        <v>2.7155574168518899</v>
      </c>
      <c r="K53">
        <v>1.73720541335076</v>
      </c>
      <c r="L53">
        <v>-0.28633679146591401</v>
      </c>
      <c r="M53">
        <v>-0.1256448892823</v>
      </c>
      <c r="N53">
        <v>-1.6547991644781901</v>
      </c>
      <c r="O53">
        <v>-0.66141589441301196</v>
      </c>
      <c r="P53">
        <v>-1.6577842743137701</v>
      </c>
      <c r="Q53">
        <v>-1.6270859401856299</v>
      </c>
      <c r="R53">
        <v>-1.9895180184177399</v>
      </c>
      <c r="S53">
        <v>-0.69705998956852699</v>
      </c>
      <c r="T53">
        <v>-1.9910913204219001</v>
      </c>
      <c r="U53">
        <v>-2.4343806095705798</v>
      </c>
      <c r="V53">
        <v>-0.85541537813467805</v>
      </c>
      <c r="W53">
        <v>-0.48438809993811499</v>
      </c>
      <c r="X53">
        <v>-0.154575273168433</v>
      </c>
      <c r="Y53">
        <v>-2.4520831219676098</v>
      </c>
      <c r="Z53">
        <v>-2.5997672649352199</v>
      </c>
      <c r="AA53">
        <v>-4.0599940349313997</v>
      </c>
      <c r="AB53">
        <v>-1.5148214491133301</v>
      </c>
      <c r="AC53">
        <v>-0.674339010404158</v>
      </c>
      <c r="AD53">
        <v>-1.3102808509569801</v>
      </c>
      <c r="AE53">
        <v>-0.51885850704949599</v>
      </c>
      <c r="AF53">
        <v>-3.8694859543424802</v>
      </c>
      <c r="AG53">
        <v>-4.1401768597873998</v>
      </c>
      <c r="AH53">
        <v>-5.6787545702118303</v>
      </c>
      <c r="AI53">
        <v>-5.4251887372176402</v>
      </c>
      <c r="AJ53">
        <v>-5.4251887372176402</v>
      </c>
      <c r="AK53">
        <v>-4.0245294183424596</v>
      </c>
      <c r="AL53">
        <v>-3.0978351099878201</v>
      </c>
      <c r="AM53">
        <v>-3.0978351099878201</v>
      </c>
      <c r="AN53">
        <v>-3.0978351099878201</v>
      </c>
      <c r="AO53">
        <v>-2.7723978957624702</v>
      </c>
      <c r="AP53">
        <v>-2.74900487315394</v>
      </c>
      <c r="AQ53">
        <v>-2.3368009958331299</v>
      </c>
      <c r="AR53">
        <v>-1.4802182548198499</v>
      </c>
      <c r="AS53">
        <v>-1.3971217671702201</v>
      </c>
      <c r="AT53">
        <v>-1.3971217671702201</v>
      </c>
      <c r="AU53">
        <v>-1.3971217671702201</v>
      </c>
      <c r="AV53">
        <v>-1.68789186574716</v>
      </c>
      <c r="AW53">
        <v>-1.68789186574716</v>
      </c>
      <c r="AX53">
        <v>-1.68789186574716</v>
      </c>
      <c r="AY53">
        <v>0.17111744529270501</v>
      </c>
      <c r="AZ53">
        <v>-0.14026561991977099</v>
      </c>
      <c r="BA53">
        <v>0.16672994049158599</v>
      </c>
      <c r="BB53">
        <v>-0.81558766855462395</v>
      </c>
      <c r="BC53">
        <v>1.0072287611802</v>
      </c>
      <c r="BD53" s="62">
        <v>0.32310839027944499</v>
      </c>
    </row>
    <row r="54" spans="2:56" x14ac:dyDescent="0.3">
      <c r="B54" s="61" t="s">
        <v>108</v>
      </c>
      <c r="C54" t="s">
        <v>109</v>
      </c>
      <c r="D54">
        <v>4.0272705388030197E-2</v>
      </c>
      <c r="E54">
        <v>8.7821116970894092E-3</v>
      </c>
      <c r="F54">
        <v>4.6399587267102499E-2</v>
      </c>
      <c r="G54">
        <v>1.3045575631490501E-2</v>
      </c>
      <c r="H54">
        <v>1.2107247545430499E-2</v>
      </c>
      <c r="I54">
        <v>8.1043354658337195E-3</v>
      </c>
      <c r="J54">
        <v>8.1043506270489195E-3</v>
      </c>
      <c r="K54">
        <v>1.29073002648964E-2</v>
      </c>
      <c r="L54">
        <v>3.9669876456941797E-2</v>
      </c>
      <c r="M54">
        <v>0.33030513791819599</v>
      </c>
      <c r="N54">
        <v>0.79118444401878096</v>
      </c>
      <c r="O54">
        <v>7.8947262842248298</v>
      </c>
      <c r="P54">
        <v>0.79110403644087002</v>
      </c>
      <c r="Q54">
        <v>1.03786636366617</v>
      </c>
      <c r="R54">
        <v>1.2932103513333899</v>
      </c>
      <c r="S54">
        <v>8.70404085545883</v>
      </c>
      <c r="T54">
        <v>1.2931579106730999</v>
      </c>
      <c r="U54">
        <v>1.70480339052383</v>
      </c>
      <c r="V54">
        <v>13.024725267036599</v>
      </c>
      <c r="W54">
        <v>6.6905015168603104</v>
      </c>
      <c r="X54">
        <v>1.7858012792397699</v>
      </c>
      <c r="Y54">
        <v>1.7037704414719499</v>
      </c>
      <c r="Z54">
        <v>1.87246717861334</v>
      </c>
      <c r="AA54">
        <v>3.9650326116051602</v>
      </c>
      <c r="AB54">
        <v>27.109860635829701</v>
      </c>
      <c r="AC54">
        <v>19.763367230807699</v>
      </c>
      <c r="AD54">
        <v>22.057040087485799</v>
      </c>
      <c r="AE54">
        <v>24.487247520901199</v>
      </c>
      <c r="AF54">
        <v>2.8177845630152998</v>
      </c>
      <c r="AG54">
        <v>3.1888370778207098</v>
      </c>
      <c r="AH54">
        <v>3.5515916298560901</v>
      </c>
      <c r="AI54">
        <v>3.20513123583352</v>
      </c>
      <c r="AJ54">
        <v>3.20513123583352</v>
      </c>
      <c r="AK54">
        <v>1.8609659490650901</v>
      </c>
      <c r="AL54">
        <v>1.31928039594372</v>
      </c>
      <c r="AM54">
        <v>1.31928039594372</v>
      </c>
      <c r="AN54">
        <v>1.31928039594372</v>
      </c>
      <c r="AO54">
        <v>30.384214931360098</v>
      </c>
      <c r="AP54">
        <v>2.1904308713676102</v>
      </c>
      <c r="AQ54">
        <v>0.30261774513591799</v>
      </c>
      <c r="AR54">
        <v>8.2419392869886199E-2</v>
      </c>
      <c r="AS54">
        <v>6.9479064551935296E-2</v>
      </c>
      <c r="AT54">
        <v>6.9479064551935296E-2</v>
      </c>
      <c r="AU54">
        <v>6.9479064551935296E-2</v>
      </c>
      <c r="AV54">
        <v>0.63897006156419001</v>
      </c>
      <c r="AW54">
        <v>0.63897006156419001</v>
      </c>
      <c r="AX54">
        <v>0.63897006156419001</v>
      </c>
      <c r="AY54">
        <v>48.7480401005879</v>
      </c>
      <c r="AZ54">
        <v>0.399668515584503</v>
      </c>
      <c r="BA54">
        <v>2.1126424492003502E-2</v>
      </c>
      <c r="BB54">
        <v>7.8844942904636894E-2</v>
      </c>
      <c r="BC54">
        <v>1.52573980770868E-3</v>
      </c>
      <c r="BD54" s="62">
        <v>1.19875147726508E-2</v>
      </c>
    </row>
    <row r="55" spans="2:56" x14ac:dyDescent="0.3">
      <c r="B55" s="61" t="s">
        <v>110</v>
      </c>
      <c r="C55" t="s">
        <v>111</v>
      </c>
      <c r="D55">
        <v>0.64608534709087495</v>
      </c>
      <c r="E55">
        <v>1.7703683327928599E-2</v>
      </c>
      <c r="F55">
        <v>0.215058464908292</v>
      </c>
      <c r="G55">
        <v>6.0465224679757602E-2</v>
      </c>
      <c r="H55">
        <v>5.6116147249246198E-2</v>
      </c>
      <c r="I55">
        <v>3.7562962238238601E-2</v>
      </c>
      <c r="J55">
        <v>3.54380403266015E-2</v>
      </c>
      <c r="K55">
        <v>5.64399849345502E-2</v>
      </c>
      <c r="L55">
        <v>0.173465185099514</v>
      </c>
      <c r="M55">
        <v>1.44433124087217</v>
      </c>
      <c r="N55">
        <v>3.45962650472429</v>
      </c>
      <c r="O55">
        <v>970.02552130550305</v>
      </c>
      <c r="P55">
        <v>3.44908196281611</v>
      </c>
      <c r="Q55">
        <v>4.5249246494043103</v>
      </c>
      <c r="R55">
        <v>5.6381819475705299</v>
      </c>
      <c r="S55">
        <v>968.74214339548303</v>
      </c>
      <c r="T55">
        <v>5.6313668129321304</v>
      </c>
      <c r="U55">
        <v>7.4239759558621596</v>
      </c>
      <c r="V55">
        <v>937.74913958639104</v>
      </c>
      <c r="W55">
        <v>524.60638535637395</v>
      </c>
      <c r="X55">
        <v>41.958136652316298</v>
      </c>
      <c r="Y55">
        <v>7.3400355451705996</v>
      </c>
      <c r="Z55">
        <v>8.0668001472741508</v>
      </c>
      <c r="AA55">
        <v>17.081808439990901</v>
      </c>
      <c r="AB55">
        <v>586.48470674053897</v>
      </c>
      <c r="AC55">
        <v>535.86943941890797</v>
      </c>
      <c r="AD55">
        <v>618.67682584021895</v>
      </c>
      <c r="AE55">
        <v>645.46185504596303</v>
      </c>
      <c r="AF55">
        <v>10.094184449388999</v>
      </c>
      <c r="AG55">
        <v>11.423410456947</v>
      </c>
      <c r="AH55">
        <v>8.9440450354332199</v>
      </c>
      <c r="AI55">
        <v>8.0715468177095495</v>
      </c>
      <c r="AJ55">
        <v>8.0715468177095495</v>
      </c>
      <c r="AK55">
        <v>4.68650818915245</v>
      </c>
      <c r="AL55">
        <v>3.32237050467509</v>
      </c>
      <c r="AM55">
        <v>3.32237050467509</v>
      </c>
      <c r="AN55">
        <v>3.32237050467509</v>
      </c>
      <c r="AO55">
        <v>484.94608110076803</v>
      </c>
      <c r="AP55">
        <v>34.960286760462203</v>
      </c>
      <c r="AQ55">
        <v>4.8299187557335204</v>
      </c>
      <c r="AR55">
        <v>1.3154515155072599</v>
      </c>
      <c r="AS55">
        <v>1.10891790849704</v>
      </c>
      <c r="AT55">
        <v>1.10891790849704</v>
      </c>
      <c r="AU55">
        <v>1.10891790849704</v>
      </c>
      <c r="AV55">
        <v>9.9946097828629803</v>
      </c>
      <c r="AW55">
        <v>9.9946097828629803</v>
      </c>
      <c r="AX55">
        <v>9.9946097828629803</v>
      </c>
      <c r="AY55">
        <v>585.51270964816104</v>
      </c>
      <c r="AZ55">
        <v>12.7889128964854</v>
      </c>
      <c r="BA55">
        <v>0.46548964112624103</v>
      </c>
      <c r="BB55">
        <v>1.7372321658684</v>
      </c>
      <c r="BC55">
        <v>6.7042818451804001E-2</v>
      </c>
      <c r="BD55" s="62">
        <v>0.52674563023828402</v>
      </c>
    </row>
    <row r="56" spans="2:56" x14ac:dyDescent="0.3">
      <c r="B56" s="61" t="s">
        <v>112</v>
      </c>
      <c r="C56" t="s">
        <v>113</v>
      </c>
      <c r="D56">
        <v>-234.20372408643999</v>
      </c>
      <c r="E56" s="44">
        <v>7.8047124892383406E-8</v>
      </c>
      <c r="F56">
        <v>-772.96495502086395</v>
      </c>
      <c r="G56">
        <v>422.47999386926301</v>
      </c>
      <c r="H56">
        <v>567.53191341772094</v>
      </c>
      <c r="I56">
        <v>1638.6980145452201</v>
      </c>
      <c r="J56">
        <v>2053.6344933454602</v>
      </c>
      <c r="K56">
        <v>858.189544455332</v>
      </c>
      <c r="L56">
        <v>-320.03905940125401</v>
      </c>
      <c r="M56">
        <v>432.69659004871897</v>
      </c>
      <c r="N56">
        <v>-322.13121992940398</v>
      </c>
      <c r="O56">
        <v>0.79451012379208696</v>
      </c>
      <c r="P56">
        <v>-322.657283130319</v>
      </c>
      <c r="Q56">
        <v>-252.00103880001299</v>
      </c>
      <c r="R56">
        <v>-365.57759687266997</v>
      </c>
      <c r="S56">
        <v>0.212995042797293</v>
      </c>
      <c r="T56">
        <v>-365.79059191546702</v>
      </c>
      <c r="U56">
        <v>-474.88344289547399</v>
      </c>
      <c r="V56">
        <v>1.9958341272939599</v>
      </c>
      <c r="W56">
        <v>3.0717575207221501</v>
      </c>
      <c r="X56">
        <v>0.60938507846227297</v>
      </c>
      <c r="Y56">
        <v>-476.27622862767203</v>
      </c>
      <c r="Z56">
        <v>-506.28006085603403</v>
      </c>
      <c r="AA56">
        <v>-711.68539882675304</v>
      </c>
      <c r="AB56">
        <v>47.874723151279298</v>
      </c>
      <c r="AC56">
        <v>145.87942425642601</v>
      </c>
      <c r="AD56">
        <v>17.799759349300199</v>
      </c>
      <c r="AE56">
        <v>123.398089361644</v>
      </c>
      <c r="AF56">
        <v>-680.56924683639295</v>
      </c>
      <c r="AG56">
        <v>-707.71757266276495</v>
      </c>
      <c r="AH56">
        <v>-402.74781126415701</v>
      </c>
      <c r="AI56">
        <v>-388.25223932256802</v>
      </c>
      <c r="AJ56">
        <v>-388.25223932256802</v>
      </c>
      <c r="AK56">
        <v>-279.15938834256099</v>
      </c>
      <c r="AL56">
        <v>-169.38681950149299</v>
      </c>
      <c r="AM56">
        <v>-154.97440716875701</v>
      </c>
      <c r="AN56">
        <v>-14.412412332736499</v>
      </c>
      <c r="AO56">
        <v>-351.376011507356</v>
      </c>
      <c r="AP56">
        <v>-351.376011507356</v>
      </c>
      <c r="AQ56">
        <v>-338.724276759703</v>
      </c>
      <c r="AR56">
        <v>-310.85637762034702</v>
      </c>
      <c r="AS56">
        <v>-307.05238838868098</v>
      </c>
      <c r="AT56">
        <v>-303.98186450479398</v>
      </c>
      <c r="AU56">
        <v>-3.0705238838868101</v>
      </c>
      <c r="AV56">
        <v>-80.611070039313404</v>
      </c>
      <c r="AW56">
        <v>-79.804959338920497</v>
      </c>
      <c r="AX56">
        <v>-0.80611070039313504</v>
      </c>
      <c r="AY56">
        <v>62.928020857657202</v>
      </c>
      <c r="AZ56">
        <v>1.7987015227118999E-2</v>
      </c>
      <c r="BA56">
        <v>62.946007872884401</v>
      </c>
      <c r="BB56">
        <v>25.644749606811299</v>
      </c>
      <c r="BC56">
        <v>25.644749606811299</v>
      </c>
      <c r="BD56" s="62">
        <v>-119.407169941647</v>
      </c>
    </row>
    <row r="57" spans="2:56" x14ac:dyDescent="0.3">
      <c r="B57" s="61" t="s">
        <v>114</v>
      </c>
      <c r="D57">
        <v>16.042760000000001</v>
      </c>
      <c r="E57">
        <v>2.0158800000000001</v>
      </c>
      <c r="F57">
        <v>4.6349219373502804</v>
      </c>
      <c r="G57">
        <v>4.6349219373502804</v>
      </c>
      <c r="H57">
        <v>4.6349219373502804</v>
      </c>
      <c r="I57">
        <v>4.6349219373502804</v>
      </c>
      <c r="J57">
        <v>4.3727180569315696</v>
      </c>
      <c r="K57">
        <v>4.3727180569315696</v>
      </c>
      <c r="L57">
        <v>4.3727180569315696</v>
      </c>
      <c r="M57">
        <v>4.3727180569315696</v>
      </c>
      <c r="N57">
        <v>4.3727180569315696</v>
      </c>
      <c r="O57">
        <v>122.870063683373</v>
      </c>
      <c r="P57">
        <v>4.3598336046082196</v>
      </c>
      <c r="Q57">
        <v>4.3598336046082196</v>
      </c>
      <c r="R57">
        <v>4.3598336046082196</v>
      </c>
      <c r="S57">
        <v>111.297977512126</v>
      </c>
      <c r="T57">
        <v>4.3547402575149903</v>
      </c>
      <c r="U57">
        <v>4.3547402575149903</v>
      </c>
      <c r="V57">
        <v>71.997613796866602</v>
      </c>
      <c r="W57">
        <v>78.410621989150798</v>
      </c>
      <c r="X57">
        <v>23.495411914016699</v>
      </c>
      <c r="Y57">
        <v>4.3081129749083402</v>
      </c>
      <c r="Z57">
        <v>4.3081129749083402</v>
      </c>
      <c r="AA57">
        <v>4.3081129749083402</v>
      </c>
      <c r="AB57">
        <v>21.633630457155999</v>
      </c>
      <c r="AC57">
        <v>27.114278308990801</v>
      </c>
      <c r="AD57">
        <v>28.048950511325799</v>
      </c>
      <c r="AE57">
        <v>26.359101997683702</v>
      </c>
      <c r="AF57">
        <v>3.5823123534282</v>
      </c>
      <c r="AG57">
        <v>3.5823123534282</v>
      </c>
      <c r="AH57">
        <v>2.5183202258519901</v>
      </c>
      <c r="AI57">
        <v>2.5183202258519901</v>
      </c>
      <c r="AJ57">
        <v>2.5183202258519901</v>
      </c>
      <c r="AK57">
        <v>2.5183202258519901</v>
      </c>
      <c r="AL57">
        <v>2.5183202258519901</v>
      </c>
      <c r="AM57">
        <v>2.5183202258519901</v>
      </c>
      <c r="AN57">
        <v>2.5183202258519901</v>
      </c>
      <c r="AO57">
        <v>15.960461120891001</v>
      </c>
      <c r="AP57">
        <v>15.960461120891001</v>
      </c>
      <c r="AQ57">
        <v>15.960461120891001</v>
      </c>
      <c r="AR57">
        <v>15.960461120891001</v>
      </c>
      <c r="AS57">
        <v>15.960461120891001</v>
      </c>
      <c r="AT57">
        <v>15.960461120891001</v>
      </c>
      <c r="AU57">
        <v>15.960461120891001</v>
      </c>
      <c r="AV57">
        <v>15.6417497220391</v>
      </c>
      <c r="AW57">
        <v>15.6417497220391</v>
      </c>
      <c r="AX57">
        <v>15.6417497220391</v>
      </c>
      <c r="AY57">
        <v>12.010999999999999</v>
      </c>
      <c r="AZ57">
        <v>31.998799999999999</v>
      </c>
      <c r="BA57">
        <v>22.033526842293298</v>
      </c>
      <c r="BB57">
        <v>22.033526842293298</v>
      </c>
      <c r="BC57">
        <v>43.9411871625</v>
      </c>
      <c r="BD57" s="62">
        <v>43.9411871625</v>
      </c>
    </row>
    <row r="58" spans="2:56" x14ac:dyDescent="0.3">
      <c r="B58" s="61" t="s">
        <v>115</v>
      </c>
      <c r="C58" t="s">
        <v>116</v>
      </c>
      <c r="D58">
        <v>13186.8</v>
      </c>
      <c r="E58" s="44">
        <v>1.0000000000000001E-5</v>
      </c>
      <c r="F58">
        <v>221973.907566304</v>
      </c>
      <c r="G58">
        <v>221973.907566304</v>
      </c>
      <c r="H58">
        <v>221973.907566304</v>
      </c>
      <c r="I58">
        <v>221973.907566304</v>
      </c>
      <c r="J58">
        <v>231437.848405678</v>
      </c>
      <c r="K58">
        <v>231437.848405678</v>
      </c>
      <c r="L58">
        <v>231437.848405678</v>
      </c>
      <c r="M58">
        <v>231437.848405678</v>
      </c>
      <c r="N58">
        <v>231437.848405678</v>
      </c>
      <c r="O58">
        <v>35.101908813737197</v>
      </c>
      <c r="P58">
        <v>231393.45084681199</v>
      </c>
      <c r="Q58">
        <v>231393.45084681199</v>
      </c>
      <c r="R58">
        <v>231393.45084681199</v>
      </c>
      <c r="S58">
        <v>11.0204926512318</v>
      </c>
      <c r="T58">
        <v>231382.43035416101</v>
      </c>
      <c r="U58">
        <v>231382.43035416101</v>
      </c>
      <c r="V58">
        <v>164.84279105097499</v>
      </c>
      <c r="W58">
        <v>145.592421889571</v>
      </c>
      <c r="X58">
        <v>19.251916133427901</v>
      </c>
      <c r="Y58">
        <v>231236.839479243</v>
      </c>
      <c r="Z58">
        <v>231236.839479243</v>
      </c>
      <c r="AA58">
        <v>231236.839479243</v>
      </c>
      <c r="AB58">
        <v>9297.4840307355498</v>
      </c>
      <c r="AC58">
        <v>4855.8968519095397</v>
      </c>
      <c r="AD58">
        <v>2170.0514827860102</v>
      </c>
      <c r="AE58">
        <v>2685.84536912353</v>
      </c>
      <c r="AF58">
        <v>221939.35544850799</v>
      </c>
      <c r="AG58">
        <v>221939.35544850799</v>
      </c>
      <c r="AH58">
        <v>204388.93394483399</v>
      </c>
      <c r="AI58">
        <v>204388.93394483399</v>
      </c>
      <c r="AJ58">
        <v>204388.93394483399</v>
      </c>
      <c r="AK58">
        <v>204388.93394483399</v>
      </c>
      <c r="AL58">
        <v>204388.93394483399</v>
      </c>
      <c r="AM58">
        <v>186998.33885053601</v>
      </c>
      <c r="AN58">
        <v>17390.5950942979</v>
      </c>
      <c r="AO58">
        <v>17567.270099727401</v>
      </c>
      <c r="AP58">
        <v>17567.270099727401</v>
      </c>
      <c r="AQ58">
        <v>17567.270099727401</v>
      </c>
      <c r="AR58">
        <v>17567.270099727401</v>
      </c>
      <c r="AS58">
        <v>17567.270099727401</v>
      </c>
      <c r="AT58">
        <v>17391.5973987301</v>
      </c>
      <c r="AU58">
        <v>175.67270099727401</v>
      </c>
      <c r="AV58">
        <v>4441.5871788260101</v>
      </c>
      <c r="AW58">
        <v>4397.17130703777</v>
      </c>
      <c r="AX58">
        <v>44.415871788260098</v>
      </c>
      <c r="AY58">
        <v>1392.0025000000001</v>
      </c>
      <c r="AZ58">
        <v>1400</v>
      </c>
      <c r="BA58">
        <v>2792.0025000000101</v>
      </c>
      <c r="BB58">
        <v>2792.0025000000101</v>
      </c>
      <c r="BC58">
        <v>1400</v>
      </c>
      <c r="BD58" s="62">
        <v>1400</v>
      </c>
    </row>
    <row r="59" spans="2:56" x14ac:dyDescent="0.3">
      <c r="B59" s="61" t="s">
        <v>131</v>
      </c>
      <c r="C59" t="s">
        <v>116</v>
      </c>
      <c r="D59">
        <v>0</v>
      </c>
      <c r="E59" s="44">
        <v>1.0000000000000001E-5</v>
      </c>
      <c r="F59">
        <v>180869.01015529799</v>
      </c>
      <c r="G59">
        <v>180869.01015529799</v>
      </c>
      <c r="H59">
        <v>180869.01015529799</v>
      </c>
      <c r="I59">
        <v>180869.01015529799</v>
      </c>
      <c r="J59">
        <v>197643.83689999999</v>
      </c>
      <c r="K59">
        <v>197643.83689999999</v>
      </c>
      <c r="L59">
        <v>197643.83689999999</v>
      </c>
      <c r="M59">
        <v>197643.83689999999</v>
      </c>
      <c r="N59">
        <v>197643.83689999999</v>
      </c>
      <c r="O59">
        <v>0.20996271436505401</v>
      </c>
      <c r="P59">
        <v>197626.38491265301</v>
      </c>
      <c r="Q59">
        <v>197626.38491265301</v>
      </c>
      <c r="R59">
        <v>197626.38491265301</v>
      </c>
      <c r="S59">
        <v>8.9658361457958399E-2</v>
      </c>
      <c r="T59">
        <v>197626.295254292</v>
      </c>
      <c r="U59">
        <v>197626.295254292</v>
      </c>
      <c r="V59">
        <v>1.02364035486548</v>
      </c>
      <c r="W59" s="44">
        <v>5.7435524468904502E-8</v>
      </c>
      <c r="X59">
        <v>1.0237213905233</v>
      </c>
      <c r="Y59" s="44">
        <v>197626.29533532701</v>
      </c>
      <c r="Z59" s="44">
        <v>197626.29533532701</v>
      </c>
      <c r="AA59">
        <v>197626.29533532701</v>
      </c>
      <c r="AB59">
        <v>127.16530986934001</v>
      </c>
      <c r="AC59" s="44">
        <v>1.05388530918769E-9</v>
      </c>
      <c r="AD59" s="44">
        <v>1.0538853091876501E-9</v>
      </c>
      <c r="AE59" s="44">
        <v>2.1702471351603201E-39</v>
      </c>
      <c r="AF59" s="44">
        <v>197499.130025458</v>
      </c>
      <c r="AG59" s="44">
        <v>197499.130025458</v>
      </c>
      <c r="AH59">
        <v>197069.303872252</v>
      </c>
      <c r="AI59">
        <v>197069.303872252</v>
      </c>
      <c r="AJ59">
        <v>197069.303872252</v>
      </c>
      <c r="AK59">
        <v>197069.303872252</v>
      </c>
      <c r="AL59">
        <v>197069.303872252</v>
      </c>
      <c r="AM59">
        <v>180301.50532753</v>
      </c>
      <c r="AN59">
        <v>16767.7985447221</v>
      </c>
      <c r="AO59">
        <v>446.07187979702002</v>
      </c>
      <c r="AP59">
        <v>446.07187979702002</v>
      </c>
      <c r="AQ59">
        <v>446.07187979702002</v>
      </c>
      <c r="AR59">
        <v>446.07187979702002</v>
      </c>
      <c r="AS59">
        <v>446.07187979702002</v>
      </c>
      <c r="AT59">
        <v>441.61116099905001</v>
      </c>
      <c r="AU59">
        <v>4.4607187979702001</v>
      </c>
      <c r="AV59">
        <v>127.165309868287</v>
      </c>
      <c r="AW59">
        <v>125.893656769605</v>
      </c>
      <c r="AX59">
        <v>1.27165309868287</v>
      </c>
      <c r="AY59">
        <v>0</v>
      </c>
      <c r="AZ59">
        <v>0</v>
      </c>
      <c r="BA59">
        <v>0</v>
      </c>
      <c r="BB59">
        <v>0</v>
      </c>
      <c r="BC59">
        <v>0</v>
      </c>
      <c r="BD59" s="62">
        <v>0</v>
      </c>
    </row>
    <row r="60" spans="2:56" x14ac:dyDescent="0.3">
      <c r="B60" s="61" t="s">
        <v>130</v>
      </c>
      <c r="C60" t="s">
        <v>116</v>
      </c>
      <c r="D60">
        <v>13186.8</v>
      </c>
      <c r="E60">
        <v>0</v>
      </c>
      <c r="F60">
        <v>40695.934923918801</v>
      </c>
      <c r="G60">
        <v>40695.934923918801</v>
      </c>
      <c r="H60">
        <v>40695.934923918801</v>
      </c>
      <c r="I60">
        <v>40695.934923918801</v>
      </c>
      <c r="J60">
        <v>28344.536499999998</v>
      </c>
      <c r="K60">
        <v>28344.536499999998</v>
      </c>
      <c r="L60">
        <v>28344.536499999998</v>
      </c>
      <c r="M60">
        <v>28344.536499999998</v>
      </c>
      <c r="N60">
        <v>28344.536499999998</v>
      </c>
      <c r="O60">
        <v>0.20312416833990601</v>
      </c>
      <c r="P60">
        <v>28341.9604533932</v>
      </c>
      <c r="Q60">
        <v>28341.9604533932</v>
      </c>
      <c r="R60">
        <v>28341.9604533932</v>
      </c>
      <c r="S60">
        <v>0.11235901292419</v>
      </c>
      <c r="T60">
        <v>28341.848094380399</v>
      </c>
      <c r="U60">
        <v>28341.848094380399</v>
      </c>
      <c r="V60">
        <v>3.1934554644833102</v>
      </c>
      <c r="W60" s="44">
        <v>7.4918186669103899E-6</v>
      </c>
      <c r="X60">
        <v>3.19370079862937</v>
      </c>
      <c r="Y60" s="44">
        <v>28341.848339714299</v>
      </c>
      <c r="Z60">
        <v>28341.848339714299</v>
      </c>
      <c r="AA60">
        <v>28341.848339714299</v>
      </c>
      <c r="AB60">
        <v>4314.6357884266499</v>
      </c>
      <c r="AC60">
        <v>0.43146132957626199</v>
      </c>
      <c r="AD60">
        <v>0.43146132957623401</v>
      </c>
      <c r="AE60" s="44">
        <v>1.1295021034885001E-14</v>
      </c>
      <c r="AF60" s="44">
        <v>24027.212551287801</v>
      </c>
      <c r="AG60">
        <v>24027.212551287801</v>
      </c>
      <c r="AH60">
        <v>7317.8217921251999</v>
      </c>
      <c r="AI60">
        <v>7317.8217921251999</v>
      </c>
      <c r="AJ60">
        <v>7317.8217921251999</v>
      </c>
      <c r="AK60">
        <v>7317.8217921251999</v>
      </c>
      <c r="AL60">
        <v>7317.8217921251999</v>
      </c>
      <c r="AM60">
        <v>6695.17910153107</v>
      </c>
      <c r="AN60">
        <v>622.64269059413596</v>
      </c>
      <c r="AO60">
        <v>16709.993473294599</v>
      </c>
      <c r="AP60">
        <v>16709.993473294599</v>
      </c>
      <c r="AQ60">
        <v>16709.993473294599</v>
      </c>
      <c r="AR60">
        <v>16709.993473294599</v>
      </c>
      <c r="AS60">
        <v>16709.993473294599</v>
      </c>
      <c r="AT60">
        <v>16542.893538561701</v>
      </c>
      <c r="AU60">
        <v>167.099934732946</v>
      </c>
      <c r="AV60">
        <v>4314.2043270970698</v>
      </c>
      <c r="AW60">
        <v>4271.0622838261197</v>
      </c>
      <c r="AX60">
        <v>43.142043270970703</v>
      </c>
      <c r="AY60">
        <v>0</v>
      </c>
      <c r="AZ60">
        <v>0</v>
      </c>
      <c r="BA60">
        <v>0</v>
      </c>
      <c r="BB60">
        <v>0</v>
      </c>
      <c r="BC60">
        <v>0</v>
      </c>
      <c r="BD60" s="62">
        <v>0</v>
      </c>
    </row>
    <row r="61" spans="2:56" x14ac:dyDescent="0.3">
      <c r="B61" s="61" t="s">
        <v>132</v>
      </c>
      <c r="C61" t="s">
        <v>116</v>
      </c>
      <c r="D61">
        <v>0</v>
      </c>
      <c r="E61">
        <v>0</v>
      </c>
      <c r="F61">
        <v>3.8575920635591001</v>
      </c>
      <c r="G61">
        <v>3.8575920635591001</v>
      </c>
      <c r="H61">
        <v>3.8575920635591001</v>
      </c>
      <c r="I61">
        <v>3.8575920635591001</v>
      </c>
      <c r="J61">
        <v>126.35705460440199</v>
      </c>
      <c r="K61">
        <v>126.35705460440199</v>
      </c>
      <c r="L61">
        <v>126.35705460440199</v>
      </c>
      <c r="M61">
        <v>126.35705460440199</v>
      </c>
      <c r="N61">
        <v>126.35705460440199</v>
      </c>
      <c r="O61">
        <v>6.3581650537586102E-3</v>
      </c>
      <c r="P61">
        <v>126.34367578416899</v>
      </c>
      <c r="Q61">
        <v>126.34367578416899</v>
      </c>
      <c r="R61">
        <v>126.34367578416899</v>
      </c>
      <c r="S61">
        <v>4.2551351931421101E-3</v>
      </c>
      <c r="T61">
        <v>126.339420648976</v>
      </c>
      <c r="U61">
        <v>126.339420648976</v>
      </c>
      <c r="V61">
        <v>0.26025887843422801</v>
      </c>
      <c r="W61">
        <v>1.0754155194E-4</v>
      </c>
      <c r="X61">
        <v>0.260172227735948</v>
      </c>
      <c r="Y61">
        <v>126.33933399827799</v>
      </c>
      <c r="Z61">
        <v>126.33933399827799</v>
      </c>
      <c r="AA61">
        <v>126.33933399827799</v>
      </c>
      <c r="AB61">
        <v>122.44255535592499</v>
      </c>
      <c r="AC61">
        <v>122.442527845615</v>
      </c>
      <c r="AD61" s="44">
        <v>9.4418222958600604E-13</v>
      </c>
      <c r="AE61">
        <v>122.442527845618</v>
      </c>
      <c r="AF61">
        <v>3.89677864235107</v>
      </c>
      <c r="AG61" s="44">
        <v>3.89677864235107</v>
      </c>
      <c r="AH61">
        <v>3.2801065915471399E-3</v>
      </c>
      <c r="AI61">
        <v>3.2801065915471399E-3</v>
      </c>
      <c r="AJ61">
        <v>3.2801065915471399E-3</v>
      </c>
      <c r="AK61">
        <v>3.2801065915471399E-3</v>
      </c>
      <c r="AL61">
        <v>3.2801065915471399E-3</v>
      </c>
      <c r="AM61" s="44">
        <v>3.0010161119464699E-3</v>
      </c>
      <c r="AN61" s="44">
        <v>2.7909047960067201E-4</v>
      </c>
      <c r="AO61" s="44">
        <v>3.8934988002422899</v>
      </c>
      <c r="AP61" s="44">
        <v>3.8934988002422899</v>
      </c>
      <c r="AQ61" s="44">
        <v>3.8934988002422899</v>
      </c>
      <c r="AR61">
        <v>3.8934988002422899</v>
      </c>
      <c r="AS61">
        <v>3.8934988002422899</v>
      </c>
      <c r="AT61">
        <v>3.8545638122398702</v>
      </c>
      <c r="AU61">
        <v>3.8934988002422899E-2</v>
      </c>
      <c r="AV61" s="44">
        <v>2.7510310398341401E-5</v>
      </c>
      <c r="AW61" s="44">
        <v>2.72352072943581E-5</v>
      </c>
      <c r="AX61" s="44">
        <v>2.7510310398341399E-7</v>
      </c>
      <c r="AY61">
        <v>0</v>
      </c>
      <c r="AZ61">
        <v>0</v>
      </c>
      <c r="BA61">
        <v>0</v>
      </c>
      <c r="BB61">
        <v>0</v>
      </c>
      <c r="BC61">
        <v>0</v>
      </c>
      <c r="BD61" s="62">
        <v>0</v>
      </c>
    </row>
    <row r="62" spans="2:56" x14ac:dyDescent="0.3">
      <c r="B62" s="61" t="s">
        <v>133</v>
      </c>
      <c r="C62" t="s">
        <v>116</v>
      </c>
      <c r="D62">
        <v>0</v>
      </c>
      <c r="E62">
        <v>0</v>
      </c>
      <c r="F62">
        <v>338.47623823234301</v>
      </c>
      <c r="G62">
        <v>338.47623823234301</v>
      </c>
      <c r="H62">
        <v>338.47623823234301</v>
      </c>
      <c r="I62">
        <v>338.47623823234301</v>
      </c>
      <c r="J62">
        <v>2511.5368700736799</v>
      </c>
      <c r="K62">
        <v>2511.5368700736799</v>
      </c>
      <c r="L62">
        <v>2511.5368700736799</v>
      </c>
      <c r="M62">
        <v>2511.5368700736799</v>
      </c>
      <c r="N62">
        <v>2511.5368700736799</v>
      </c>
      <c r="O62">
        <v>8.4735455812960297E-2</v>
      </c>
      <c r="P62">
        <v>2511.2666028506901</v>
      </c>
      <c r="Q62">
        <v>2511.2666028506901</v>
      </c>
      <c r="R62">
        <v>2511.2666028506901</v>
      </c>
      <c r="S62">
        <v>5.48197714919317E-2</v>
      </c>
      <c r="T62">
        <v>2511.2117830791799</v>
      </c>
      <c r="U62">
        <v>2511.2117830791799</v>
      </c>
      <c r="V62">
        <v>2.8590082179094698</v>
      </c>
      <c r="W62">
        <v>3.7484760009025601E-4</v>
      </c>
      <c r="X62">
        <v>2.85888072513848</v>
      </c>
      <c r="Y62">
        <v>2511.21165558641</v>
      </c>
      <c r="Z62">
        <v>2511.21165558641</v>
      </c>
      <c r="AA62">
        <v>2511.21165558641</v>
      </c>
      <c r="AB62">
        <v>2169.3988584577901</v>
      </c>
      <c r="AC62">
        <v>2169.1825933034202</v>
      </c>
      <c r="AD62">
        <v>2167.01343972831</v>
      </c>
      <c r="AE62">
        <v>2.1691535750314399</v>
      </c>
      <c r="AF62">
        <v>341.81279712860697</v>
      </c>
      <c r="AG62">
        <v>341.81279712860697</v>
      </c>
      <c r="AH62">
        <v>1.7670970645295101</v>
      </c>
      <c r="AI62">
        <v>1.7670970645295101</v>
      </c>
      <c r="AJ62">
        <v>1.7670970645295101</v>
      </c>
      <c r="AK62">
        <v>1.7670970645295101</v>
      </c>
      <c r="AL62">
        <v>1.7670970645295101</v>
      </c>
      <c r="AM62">
        <v>1.6167422045650801</v>
      </c>
      <c r="AN62">
        <v>0.15035485996443201</v>
      </c>
      <c r="AO62">
        <v>340.04585204540098</v>
      </c>
      <c r="AP62">
        <v>340.04585204540098</v>
      </c>
      <c r="AQ62">
        <v>340.04585204540098</v>
      </c>
      <c r="AR62">
        <v>340.04585204540098</v>
      </c>
      <c r="AS62">
        <v>340.04585204540098</v>
      </c>
      <c r="AT62">
        <v>336.645393524947</v>
      </c>
      <c r="AU62">
        <v>3.4004585204540101</v>
      </c>
      <c r="AV62">
        <v>0.21626515437475999</v>
      </c>
      <c r="AW62">
        <v>0.21410250283101301</v>
      </c>
      <c r="AX62">
        <v>2.1626515437476001E-3</v>
      </c>
      <c r="AY62">
        <v>0</v>
      </c>
      <c r="AZ62">
        <v>0</v>
      </c>
      <c r="BA62">
        <v>0</v>
      </c>
      <c r="BB62">
        <v>0</v>
      </c>
      <c r="BC62">
        <v>0</v>
      </c>
      <c r="BD62" s="62">
        <v>0</v>
      </c>
    </row>
    <row r="63" spans="2:56" x14ac:dyDescent="0.3">
      <c r="B63" s="61" t="s">
        <v>134</v>
      </c>
      <c r="C63" t="s">
        <v>116</v>
      </c>
      <c r="D63">
        <v>0</v>
      </c>
      <c r="E63">
        <v>0</v>
      </c>
      <c r="F63">
        <v>66.628656430606696</v>
      </c>
      <c r="G63">
        <v>66.628656430606696</v>
      </c>
      <c r="H63">
        <v>66.628656430606696</v>
      </c>
      <c r="I63">
        <v>66.628656430606696</v>
      </c>
      <c r="J63">
        <v>2624.5266182754599</v>
      </c>
      <c r="K63">
        <v>2624.5266182754599</v>
      </c>
      <c r="L63">
        <v>2624.5266182754599</v>
      </c>
      <c r="M63">
        <v>2624.5266182754599</v>
      </c>
      <c r="N63">
        <v>2624.5266182754599</v>
      </c>
      <c r="O63">
        <v>0.14815621953198799</v>
      </c>
      <c r="P63">
        <v>2624.2552146943599</v>
      </c>
      <c r="Q63">
        <v>2624.2552146943599</v>
      </c>
      <c r="R63">
        <v>2624.2552146943599</v>
      </c>
      <c r="S63">
        <v>0.1103667793605</v>
      </c>
      <c r="T63">
        <v>2624.1448479150099</v>
      </c>
      <c r="U63">
        <v>2624.1448479150099</v>
      </c>
      <c r="V63">
        <v>11.9046542180507</v>
      </c>
      <c r="W63">
        <v>4.6312008372290303E-3</v>
      </c>
      <c r="X63">
        <v>11.900966634325</v>
      </c>
      <c r="Y63">
        <v>2624.1411603312799</v>
      </c>
      <c r="Z63">
        <v>2624.1411603312799</v>
      </c>
      <c r="AA63">
        <v>2624.1411603312799</v>
      </c>
      <c r="AB63">
        <v>2556.8378647039099</v>
      </c>
      <c r="AC63">
        <v>2556.8366155079498</v>
      </c>
      <c r="AD63">
        <v>2.6065817270757701</v>
      </c>
      <c r="AE63">
        <v>2554.2300337809502</v>
      </c>
      <c r="AF63">
        <v>67.3032956273466</v>
      </c>
      <c r="AG63">
        <v>67.3032956273466</v>
      </c>
      <c r="AH63">
        <v>3.7903285617890602E-2</v>
      </c>
      <c r="AI63">
        <v>3.7903285617890602E-2</v>
      </c>
      <c r="AJ63">
        <v>3.7903285617890602E-2</v>
      </c>
      <c r="AK63">
        <v>3.7903285617890602E-2</v>
      </c>
      <c r="AL63">
        <v>3.7903285617890602E-2</v>
      </c>
      <c r="AM63">
        <v>3.4678254398234798E-2</v>
      </c>
      <c r="AN63">
        <v>3.2250312196558102E-3</v>
      </c>
      <c r="AO63" s="44">
        <v>67.265395426459506</v>
      </c>
      <c r="AP63">
        <v>67.265395426459506</v>
      </c>
      <c r="AQ63" s="44">
        <v>67.265395426459506</v>
      </c>
      <c r="AR63">
        <v>67.265395426459506</v>
      </c>
      <c r="AS63">
        <v>67.265395426459506</v>
      </c>
      <c r="AT63">
        <v>66.592741472194902</v>
      </c>
      <c r="AU63">
        <v>0.67265395426459496</v>
      </c>
      <c r="AV63">
        <v>1.24919597324115E-3</v>
      </c>
      <c r="AW63">
        <v>1.23670401350875E-3</v>
      </c>
      <c r="AX63" s="44">
        <v>1.24919597324115E-5</v>
      </c>
      <c r="AY63">
        <v>0</v>
      </c>
      <c r="AZ63">
        <v>0</v>
      </c>
      <c r="BA63">
        <v>0</v>
      </c>
      <c r="BB63">
        <v>0</v>
      </c>
      <c r="BC63">
        <v>0</v>
      </c>
      <c r="BD63" s="62">
        <v>0</v>
      </c>
    </row>
    <row r="64" spans="2:56" x14ac:dyDescent="0.3">
      <c r="B64" s="61" t="s">
        <v>164</v>
      </c>
      <c r="C64" t="s">
        <v>116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62">
        <v>0</v>
      </c>
    </row>
    <row r="65" spans="2:56" x14ac:dyDescent="0.3">
      <c r="B65" s="61" t="s">
        <v>135</v>
      </c>
      <c r="C65" t="s">
        <v>116</v>
      </c>
      <c r="D65">
        <v>0</v>
      </c>
      <c r="E65">
        <v>0</v>
      </c>
      <c r="F65" s="44">
        <v>3.5999699195706998E-7</v>
      </c>
      <c r="G65" s="44">
        <v>3.5999699195706998E-7</v>
      </c>
      <c r="H65" s="44">
        <v>3.5999699195706998E-7</v>
      </c>
      <c r="I65" s="44">
        <v>3.5999699195706998E-7</v>
      </c>
      <c r="J65">
        <v>153.985533324024</v>
      </c>
      <c r="K65">
        <v>153.985533324024</v>
      </c>
      <c r="L65">
        <v>153.985533324024</v>
      </c>
      <c r="M65">
        <v>153.985533324024</v>
      </c>
      <c r="N65">
        <v>153.985533324024</v>
      </c>
      <c r="O65">
        <v>2.25044661829924</v>
      </c>
      <c r="P65">
        <v>154.61621155270501</v>
      </c>
      <c r="Q65">
        <v>154.61621155270501</v>
      </c>
      <c r="R65">
        <v>154.61621155270501</v>
      </c>
      <c r="S65">
        <v>2.8943024611965402</v>
      </c>
      <c r="T65">
        <v>151.721909091508</v>
      </c>
      <c r="U65">
        <v>151.721909091508</v>
      </c>
      <c r="V65">
        <v>144.73273665002301</v>
      </c>
      <c r="W65">
        <v>144.71826348319701</v>
      </c>
      <c r="X65">
        <v>1.4474356996873701E-2</v>
      </c>
      <c r="Y65">
        <v>7.0036467984873001</v>
      </c>
      <c r="Z65">
        <v>7.0036467984873001</v>
      </c>
      <c r="AA65" s="44">
        <v>7.0036467984873001</v>
      </c>
      <c r="AB65" s="44">
        <v>7.0036464348539003</v>
      </c>
      <c r="AC65" s="44">
        <v>7.0036464348539198</v>
      </c>
      <c r="AD65" s="44">
        <v>5.2571403709701998E-239</v>
      </c>
      <c r="AE65" s="44">
        <v>7.0036464348541303</v>
      </c>
      <c r="AF65" s="44">
        <v>3.6363332521509001E-7</v>
      </c>
      <c r="AG65" s="44">
        <v>3.6363332521509001E-7</v>
      </c>
      <c r="AH65" s="44">
        <v>7.82617643130557E-17</v>
      </c>
      <c r="AI65" s="44">
        <v>7.82617643130557E-17</v>
      </c>
      <c r="AJ65" s="44">
        <v>7.82617643130557E-17</v>
      </c>
      <c r="AK65" s="44">
        <v>7.82617643130557E-17</v>
      </c>
      <c r="AL65" s="44">
        <v>7.82617643130557E-17</v>
      </c>
      <c r="AM65" s="44">
        <v>7.1602799816958998E-17</v>
      </c>
      <c r="AN65" s="44">
        <v>6.6589644960968004E-18</v>
      </c>
      <c r="AO65" s="44">
        <v>3.6363332513683597E-7</v>
      </c>
      <c r="AP65" s="44">
        <v>3.6363332513683597E-7</v>
      </c>
      <c r="AQ65" s="44">
        <v>3.6363332513683597E-7</v>
      </c>
      <c r="AR65" s="44">
        <v>3.6363332513683597E-7</v>
      </c>
      <c r="AS65" s="44">
        <v>3.6363332513683597E-7</v>
      </c>
      <c r="AT65" s="44">
        <v>3.59996991885468E-7</v>
      </c>
      <c r="AU65" s="44">
        <v>3.63633325136836E-9</v>
      </c>
      <c r="AV65" s="44">
        <v>2.52589328445913E-26</v>
      </c>
      <c r="AW65" s="44">
        <v>2.5006343516145501E-26</v>
      </c>
      <c r="AX65" s="44">
        <v>2.5258932844591301E-28</v>
      </c>
      <c r="AY65" s="44">
        <v>0</v>
      </c>
      <c r="AZ65" s="44">
        <v>0</v>
      </c>
      <c r="BA65" s="44">
        <v>0</v>
      </c>
      <c r="BB65" s="44">
        <v>0</v>
      </c>
      <c r="BC65">
        <v>0</v>
      </c>
      <c r="BD65" s="62">
        <v>0</v>
      </c>
    </row>
    <row r="66" spans="2:56" x14ac:dyDescent="0.3">
      <c r="B66" s="61" t="s">
        <v>136</v>
      </c>
      <c r="C66" t="s">
        <v>116</v>
      </c>
      <c r="D66">
        <v>0</v>
      </c>
      <c r="E66">
        <v>0</v>
      </c>
      <c r="F66" s="44">
        <v>1.8118092930555701E-56</v>
      </c>
      <c r="G66" s="44">
        <v>1.8118092930555701E-56</v>
      </c>
      <c r="H66" s="44">
        <v>1.8118092930555701E-56</v>
      </c>
      <c r="I66" s="44">
        <v>1.8118092930555701E-56</v>
      </c>
      <c r="J66">
        <v>33.068929400000201</v>
      </c>
      <c r="K66">
        <v>33.068929400000201</v>
      </c>
      <c r="L66">
        <v>33.068929400000201</v>
      </c>
      <c r="M66">
        <v>33.068929400000201</v>
      </c>
      <c r="N66">
        <v>33.068929400000201</v>
      </c>
      <c r="O66">
        <v>32.199125472334302</v>
      </c>
      <c r="P66">
        <v>8.62377588381562</v>
      </c>
      <c r="Q66">
        <v>8.62377588381562</v>
      </c>
      <c r="R66">
        <v>8.62377588381562</v>
      </c>
      <c r="S66">
        <v>7.7547311296075003</v>
      </c>
      <c r="T66">
        <v>0.86904475420779703</v>
      </c>
      <c r="U66">
        <v>0.86904475420779703</v>
      </c>
      <c r="V66">
        <v>0.86903726720896102</v>
      </c>
      <c r="W66" s="44">
        <v>0.86903726712974705</v>
      </c>
      <c r="X66" s="44">
        <v>7.8992484258855306E-11</v>
      </c>
      <c r="Y66" s="44">
        <v>7.4870778619700398E-6</v>
      </c>
      <c r="Z66" s="44">
        <v>7.4870778619700398E-6</v>
      </c>
      <c r="AA66" s="44">
        <v>7.4870778619700398E-6</v>
      </c>
      <c r="AB66" s="44">
        <v>7.4870778619698797E-6</v>
      </c>
      <c r="AC66" s="44">
        <v>7.4870778619698797E-6</v>
      </c>
      <c r="AD66" s="44">
        <v>0</v>
      </c>
      <c r="AE66" s="44">
        <v>7.4870778619701203E-6</v>
      </c>
      <c r="AF66" s="44">
        <v>8.0486057536502704E-20</v>
      </c>
      <c r="AG66" s="44">
        <v>8.0486057536502704E-20</v>
      </c>
      <c r="AH66" s="44">
        <v>0</v>
      </c>
      <c r="AI66" s="44">
        <v>0</v>
      </c>
      <c r="AJ66">
        <v>0</v>
      </c>
      <c r="AK66">
        <v>0</v>
      </c>
      <c r="AL66">
        <v>0</v>
      </c>
      <c r="AM66" s="44">
        <v>0</v>
      </c>
      <c r="AN66" s="44">
        <v>0</v>
      </c>
      <c r="AO66" s="44">
        <v>0</v>
      </c>
      <c r="AP66" s="44">
        <v>0</v>
      </c>
      <c r="AQ66" s="44">
        <v>0</v>
      </c>
      <c r="AR66">
        <v>0</v>
      </c>
      <c r="AS66">
        <v>0</v>
      </c>
      <c r="AT66">
        <v>0</v>
      </c>
      <c r="AU66">
        <v>0</v>
      </c>
      <c r="AV66" s="44">
        <v>1.8301103970258299E-56</v>
      </c>
      <c r="AW66" s="44">
        <v>1.8118092930555801E-56</v>
      </c>
      <c r="AX66" s="44">
        <v>1.83011039702583E-58</v>
      </c>
      <c r="AY66">
        <v>0</v>
      </c>
      <c r="AZ66">
        <v>0</v>
      </c>
      <c r="BA66">
        <v>0</v>
      </c>
      <c r="BB66">
        <v>0</v>
      </c>
      <c r="BC66">
        <v>0</v>
      </c>
      <c r="BD66" s="62">
        <v>0</v>
      </c>
    </row>
    <row r="67" spans="2:56" x14ac:dyDescent="0.3">
      <c r="B67" s="61" t="s">
        <v>91</v>
      </c>
      <c r="C67" t="s">
        <v>116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1392.0025000000001</v>
      </c>
      <c r="AZ67">
        <v>0</v>
      </c>
      <c r="BA67">
        <v>1392.0025000000001</v>
      </c>
      <c r="BB67">
        <v>1392.0025000000001</v>
      </c>
      <c r="BC67">
        <v>0</v>
      </c>
      <c r="BD67" s="62">
        <v>0</v>
      </c>
    </row>
    <row r="68" spans="2:56" x14ac:dyDescent="0.3">
      <c r="B68" s="61" t="s">
        <v>165</v>
      </c>
      <c r="C68" t="s">
        <v>116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s="62">
        <v>0</v>
      </c>
    </row>
    <row r="69" spans="2:56" x14ac:dyDescent="0.3">
      <c r="B69" s="61" t="s">
        <v>166</v>
      </c>
      <c r="C69" t="s">
        <v>116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1400</v>
      </c>
      <c r="BA69">
        <v>1400</v>
      </c>
      <c r="BB69">
        <v>1400</v>
      </c>
      <c r="BC69">
        <v>7.9975000000000298</v>
      </c>
      <c r="BD69" s="62">
        <v>7.9975000000000298</v>
      </c>
    </row>
    <row r="70" spans="2:56" x14ac:dyDescent="0.3">
      <c r="B70" s="61" t="s">
        <v>167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1392.0025000000001</v>
      </c>
      <c r="BD70" s="62">
        <v>1392.0025000000001</v>
      </c>
    </row>
    <row r="71" spans="2:56" x14ac:dyDescent="0.3">
      <c r="B71" s="61" t="s">
        <v>117</v>
      </c>
      <c r="BD71" s="62"/>
    </row>
    <row r="72" spans="2:56" x14ac:dyDescent="0.3">
      <c r="B72" s="61" t="s">
        <v>131</v>
      </c>
      <c r="D72">
        <v>0</v>
      </c>
      <c r="E72">
        <v>1</v>
      </c>
      <c r="F72">
        <v>0.814821039726359</v>
      </c>
      <c r="G72">
        <v>0.814821039726359</v>
      </c>
      <c r="H72">
        <v>0.814821039726359</v>
      </c>
      <c r="I72">
        <v>0.814821039726359</v>
      </c>
      <c r="J72">
        <v>0.85398234671434803</v>
      </c>
      <c r="K72">
        <v>0.85398234671434803</v>
      </c>
      <c r="L72">
        <v>0.85398234671434803</v>
      </c>
      <c r="M72">
        <v>0.85398234671434803</v>
      </c>
      <c r="N72">
        <v>0.85398234671434803</v>
      </c>
      <c r="O72">
        <v>5.9815184262254203E-3</v>
      </c>
      <c r="P72">
        <v>0.85407077939939802</v>
      </c>
      <c r="Q72">
        <v>0.85407077939939802</v>
      </c>
      <c r="R72">
        <v>0.85407077939939802</v>
      </c>
      <c r="S72">
        <v>8.1356037606846298E-3</v>
      </c>
      <c r="T72">
        <v>0.85411107036864897</v>
      </c>
      <c r="U72">
        <v>0.85411107036864897</v>
      </c>
      <c r="V72">
        <v>6.2097975188307401E-3</v>
      </c>
      <c r="W72" s="44">
        <v>3.9449528844618298E-10</v>
      </c>
      <c r="X72">
        <v>5.3175038963823799E-2</v>
      </c>
      <c r="Y72" s="44">
        <v>0.85464883441752404</v>
      </c>
      <c r="Z72" s="44">
        <v>0.85464883441752404</v>
      </c>
      <c r="AA72">
        <v>0.85464883441752404</v>
      </c>
      <c r="AB72">
        <v>1.36773894366431E-2</v>
      </c>
      <c r="AC72" s="44">
        <v>2.1703206252687599E-13</v>
      </c>
      <c r="AD72" s="44">
        <v>4.8564991086507399E-13</v>
      </c>
      <c r="AE72" s="44">
        <v>8.0803130370403003E-43</v>
      </c>
      <c r="AF72" s="44">
        <v>0.88987881228338495</v>
      </c>
      <c r="AG72" s="44">
        <v>0.88987881228338495</v>
      </c>
      <c r="AH72">
        <v>0.96418773790093004</v>
      </c>
      <c r="AI72">
        <v>0.96418773790093004</v>
      </c>
      <c r="AJ72">
        <v>0.96418773790093004</v>
      </c>
      <c r="AK72">
        <v>0.96418773790093004</v>
      </c>
      <c r="AL72">
        <v>0.96418773790093004</v>
      </c>
      <c r="AM72">
        <v>0.96418773790093004</v>
      </c>
      <c r="AN72">
        <v>0.96418773790093004</v>
      </c>
      <c r="AO72">
        <v>2.53922138877994E-2</v>
      </c>
      <c r="AP72">
        <v>2.53922138877994E-2</v>
      </c>
      <c r="AQ72">
        <v>2.53922138877994E-2</v>
      </c>
      <c r="AR72">
        <v>2.53922138877994E-2</v>
      </c>
      <c r="AS72">
        <v>2.53922138877994E-2</v>
      </c>
      <c r="AT72">
        <v>2.53922138877994E-2</v>
      </c>
      <c r="AU72">
        <v>2.53922138877994E-2</v>
      </c>
      <c r="AV72">
        <v>2.86306008974699E-2</v>
      </c>
      <c r="AW72">
        <v>2.86306008974699E-2</v>
      </c>
      <c r="AX72">
        <v>2.86306008974699E-2</v>
      </c>
      <c r="AY72">
        <v>0</v>
      </c>
      <c r="AZ72">
        <v>0</v>
      </c>
      <c r="BA72">
        <v>0</v>
      </c>
      <c r="BB72">
        <v>0</v>
      </c>
      <c r="BC72">
        <v>0</v>
      </c>
      <c r="BD72" s="62">
        <v>0</v>
      </c>
    </row>
    <row r="73" spans="2:56" x14ac:dyDescent="0.3">
      <c r="B73" s="61" t="s">
        <v>130</v>
      </c>
      <c r="D73">
        <v>1</v>
      </c>
      <c r="E73">
        <v>0</v>
      </c>
      <c r="F73">
        <v>0.183336570365879</v>
      </c>
      <c r="G73">
        <v>0.183336570365879</v>
      </c>
      <c r="H73">
        <v>0.183336570365879</v>
      </c>
      <c r="I73">
        <v>0.183336570365879</v>
      </c>
      <c r="J73">
        <v>0.12247148292839299</v>
      </c>
      <c r="K73">
        <v>0.12247148292839299</v>
      </c>
      <c r="L73">
        <v>0.12247148292839299</v>
      </c>
      <c r="M73">
        <v>0.12247148292839299</v>
      </c>
      <c r="N73">
        <v>0.12247148292839299</v>
      </c>
      <c r="O73">
        <v>5.7866986498584204E-3</v>
      </c>
      <c r="P73">
        <v>0.122483848828359</v>
      </c>
      <c r="Q73">
        <v>0.122483848828359</v>
      </c>
      <c r="R73">
        <v>0.122483848828359</v>
      </c>
      <c r="S73">
        <v>1.0195461898124101E-2</v>
      </c>
      <c r="T73">
        <v>0.122489197001689</v>
      </c>
      <c r="U73">
        <v>0.122489197001689</v>
      </c>
      <c r="V73">
        <v>1.93727335246088E-2</v>
      </c>
      <c r="W73" s="44">
        <v>5.1457476767525798E-8</v>
      </c>
      <c r="X73">
        <v>0.165890022400628</v>
      </c>
      <c r="Y73" s="44">
        <v>0.122566319465106</v>
      </c>
      <c r="Z73" s="44">
        <v>0.122566319465106</v>
      </c>
      <c r="AA73">
        <v>0.122566319465106</v>
      </c>
      <c r="AB73">
        <v>0.46406487756939002</v>
      </c>
      <c r="AC73" s="44">
        <v>8.8853067257100806E-5</v>
      </c>
      <c r="AD73">
        <v>1.9882538870566501E-4</v>
      </c>
      <c r="AE73" s="44">
        <v>4.20538768342083E-18</v>
      </c>
      <c r="AF73" s="44">
        <v>0.108260261019197</v>
      </c>
      <c r="AG73">
        <v>0.108260261019197</v>
      </c>
      <c r="AH73">
        <v>3.58034148468152E-2</v>
      </c>
      <c r="AI73">
        <v>3.58034148468152E-2</v>
      </c>
      <c r="AJ73">
        <v>3.58034148468152E-2</v>
      </c>
      <c r="AK73">
        <v>3.58034148468152E-2</v>
      </c>
      <c r="AL73">
        <v>3.58034148468152E-2</v>
      </c>
      <c r="AM73">
        <v>3.58034148468152E-2</v>
      </c>
      <c r="AN73">
        <v>3.58034148468152E-2</v>
      </c>
      <c r="AO73">
        <v>0.95120035033524897</v>
      </c>
      <c r="AP73">
        <v>0.95120035033524897</v>
      </c>
      <c r="AQ73">
        <v>0.95120035033524897</v>
      </c>
      <c r="AR73">
        <v>0.95120035033524897</v>
      </c>
      <c r="AS73">
        <v>0.95120035033524897</v>
      </c>
      <c r="AT73">
        <v>0.95120035033524897</v>
      </c>
      <c r="AU73">
        <v>0.95120035033524897</v>
      </c>
      <c r="AV73">
        <v>0.971320420696411</v>
      </c>
      <c r="AW73">
        <v>0.971320420696411</v>
      </c>
      <c r="AX73">
        <v>0.971320420696411</v>
      </c>
      <c r="AY73">
        <v>0</v>
      </c>
      <c r="AZ73">
        <v>0</v>
      </c>
      <c r="BA73">
        <v>0</v>
      </c>
      <c r="BB73">
        <v>0</v>
      </c>
      <c r="BC73">
        <v>0</v>
      </c>
      <c r="BD73" s="62">
        <v>0</v>
      </c>
    </row>
    <row r="74" spans="2:56" x14ac:dyDescent="0.3">
      <c r="B74" s="61" t="s">
        <v>132</v>
      </c>
      <c r="D74">
        <v>0</v>
      </c>
      <c r="E74">
        <v>0</v>
      </c>
      <c r="F74" s="44">
        <v>1.73785833923153E-5</v>
      </c>
      <c r="G74" s="44">
        <v>1.73785833923153E-5</v>
      </c>
      <c r="H74" s="44">
        <v>1.73785833923153E-5</v>
      </c>
      <c r="I74" s="44">
        <v>1.73785833923153E-5</v>
      </c>
      <c r="J74">
        <v>5.4596538757530901E-4</v>
      </c>
      <c r="K74">
        <v>5.4596538757530901E-4</v>
      </c>
      <c r="L74">
        <v>5.4596538757530901E-4</v>
      </c>
      <c r="M74">
        <v>5.4596538757530901E-4</v>
      </c>
      <c r="N74">
        <v>5.4596538757530901E-4</v>
      </c>
      <c r="O74">
        <v>1.81134453043486E-4</v>
      </c>
      <c r="P74">
        <v>5.4601232369282397E-4</v>
      </c>
      <c r="Q74">
        <v>5.4601232369282397E-4</v>
      </c>
      <c r="R74">
        <v>5.4601232369282397E-4</v>
      </c>
      <c r="S74">
        <v>3.86111159256253E-4</v>
      </c>
      <c r="T74">
        <v>5.4601993961078698E-4</v>
      </c>
      <c r="U74">
        <v>5.4601993961078698E-4</v>
      </c>
      <c r="V74">
        <v>1.5788308167734601E-3</v>
      </c>
      <c r="W74" s="44">
        <v>7.3864800478124197E-7</v>
      </c>
      <c r="X74">
        <v>1.3514095216953501E-2</v>
      </c>
      <c r="Y74" s="44">
        <v>5.4636334886257805E-4</v>
      </c>
      <c r="Z74">
        <v>5.4636334886257805E-4</v>
      </c>
      <c r="AA74" s="44">
        <v>5.4636334886257805E-4</v>
      </c>
      <c r="AB74" s="44">
        <v>1.31694289499348E-2</v>
      </c>
      <c r="AC74" s="44">
        <v>2.5215224206722099E-2</v>
      </c>
      <c r="AD74" s="44">
        <v>4.3509669566632602E-16</v>
      </c>
      <c r="AE74" s="44">
        <v>4.55880778741833E-2</v>
      </c>
      <c r="AF74" s="44">
        <v>1.7557853290491201E-5</v>
      </c>
      <c r="AG74" s="44">
        <v>1.7557853290491201E-5</v>
      </c>
      <c r="AH74" s="44">
        <v>1.6048357062386101E-8</v>
      </c>
      <c r="AI74" s="44">
        <v>1.6048357062386101E-8</v>
      </c>
      <c r="AJ74" s="44">
        <v>1.6048357062386101E-8</v>
      </c>
      <c r="AK74" s="44">
        <v>1.6048357062386101E-8</v>
      </c>
      <c r="AL74" s="44">
        <v>1.6048357062386101E-8</v>
      </c>
      <c r="AM74" s="44">
        <v>1.6048357062386101E-8</v>
      </c>
      <c r="AN74" s="44">
        <v>1.6048357062386101E-8</v>
      </c>
      <c r="AO74" s="44">
        <v>2.2163368458157399E-4</v>
      </c>
      <c r="AP74" s="44">
        <v>2.2163368458157399E-4</v>
      </c>
      <c r="AQ74" s="44">
        <v>2.2163368458157399E-4</v>
      </c>
      <c r="AR74">
        <v>2.2163368458157399E-4</v>
      </c>
      <c r="AS74">
        <v>2.2163368458157399E-4</v>
      </c>
      <c r="AT74">
        <v>2.2163368458157399E-4</v>
      </c>
      <c r="AU74">
        <v>2.2163368458157399E-4</v>
      </c>
      <c r="AV74" s="44">
        <v>6.1938017403978703E-9</v>
      </c>
      <c r="AW74" s="44">
        <v>6.1938017403978703E-9</v>
      </c>
      <c r="AX74" s="44">
        <v>6.1938017403978703E-9</v>
      </c>
      <c r="AY74" s="44">
        <v>0</v>
      </c>
      <c r="AZ74" s="44">
        <v>0</v>
      </c>
      <c r="BA74" s="44">
        <v>0</v>
      </c>
      <c r="BB74" s="44">
        <v>0</v>
      </c>
      <c r="BC74">
        <v>0</v>
      </c>
      <c r="BD74" s="62">
        <v>0</v>
      </c>
    </row>
    <row r="75" spans="2:56" x14ac:dyDescent="0.3">
      <c r="B75" s="61" t="s">
        <v>133</v>
      </c>
      <c r="D75">
        <v>0</v>
      </c>
      <c r="E75">
        <v>0</v>
      </c>
      <c r="F75">
        <v>1.5248469603628501E-3</v>
      </c>
      <c r="G75">
        <v>1.5248469603628501E-3</v>
      </c>
      <c r="H75">
        <v>1.5248469603628501E-3</v>
      </c>
      <c r="I75">
        <v>1.5248469603628501E-3</v>
      </c>
      <c r="J75">
        <v>1.08518848035232E-2</v>
      </c>
      <c r="K75">
        <v>1.08518848035232E-2</v>
      </c>
      <c r="L75">
        <v>1.08518848035232E-2</v>
      </c>
      <c r="M75">
        <v>1.08518848035232E-2</v>
      </c>
      <c r="N75">
        <v>1.08518848035232E-2</v>
      </c>
      <c r="O75">
        <v>2.41398427255326E-3</v>
      </c>
      <c r="P75">
        <v>1.08527989606465E-2</v>
      </c>
      <c r="Q75">
        <v>1.08527989606465E-2</v>
      </c>
      <c r="R75">
        <v>1.08527989606465E-2</v>
      </c>
      <c r="S75">
        <v>4.9743485365696897E-3</v>
      </c>
      <c r="T75">
        <v>1.0853078944825E-2</v>
      </c>
      <c r="U75">
        <v>1.0853078944825E-2</v>
      </c>
      <c r="V75">
        <v>1.7343847429914998E-2</v>
      </c>
      <c r="W75" s="44">
        <v>2.5746367511804399E-6</v>
      </c>
      <c r="X75">
        <v>0.14849850297106201</v>
      </c>
      <c r="Y75" s="44">
        <v>1.08599116872631E-2</v>
      </c>
      <c r="Z75">
        <v>1.08599116872631E-2</v>
      </c>
      <c r="AA75" s="44">
        <v>1.08599116872631E-2</v>
      </c>
      <c r="AB75" s="44">
        <v>0.23333181872495901</v>
      </c>
      <c r="AC75" s="44">
        <v>0.44671101126260598</v>
      </c>
      <c r="AD75" s="44">
        <v>0.99860001337212201</v>
      </c>
      <c r="AE75" s="44">
        <v>8.0762414693266596E-4</v>
      </c>
      <c r="AF75" s="44">
        <v>1.5401180040279601E-3</v>
      </c>
      <c r="AG75">
        <v>1.5401180040279601E-3</v>
      </c>
      <c r="AH75" s="44">
        <v>8.6457570398917097E-6</v>
      </c>
      <c r="AI75" s="44">
        <v>8.6457570398917097E-6</v>
      </c>
      <c r="AJ75" s="44">
        <v>8.6457570398917097E-6</v>
      </c>
      <c r="AK75" s="44">
        <v>8.6457570398917097E-6</v>
      </c>
      <c r="AL75" s="44">
        <v>8.6457570398917097E-6</v>
      </c>
      <c r="AM75" s="44">
        <v>8.6457570398917097E-6</v>
      </c>
      <c r="AN75" s="44">
        <v>8.6457570398917097E-6</v>
      </c>
      <c r="AO75" s="44">
        <v>1.9356783957609799E-2</v>
      </c>
      <c r="AP75" s="44">
        <v>1.9356783957609799E-2</v>
      </c>
      <c r="AQ75" s="44">
        <v>1.9356783957609799E-2</v>
      </c>
      <c r="AR75">
        <v>1.9356783957609799E-2</v>
      </c>
      <c r="AS75">
        <v>1.9356783957609799E-2</v>
      </c>
      <c r="AT75">
        <v>1.9356783957609799E-2</v>
      </c>
      <c r="AU75">
        <v>1.9356783957609799E-2</v>
      </c>
      <c r="AV75" s="44">
        <v>4.8690962412207399E-5</v>
      </c>
      <c r="AW75" s="44">
        <v>4.8690962412207399E-5</v>
      </c>
      <c r="AX75" s="44">
        <v>4.8690962412207399E-5</v>
      </c>
      <c r="AY75" s="44">
        <v>0</v>
      </c>
      <c r="AZ75" s="44">
        <v>0</v>
      </c>
      <c r="BA75" s="44">
        <v>0</v>
      </c>
      <c r="BB75" s="44">
        <v>0</v>
      </c>
      <c r="BC75">
        <v>0</v>
      </c>
      <c r="BD75" s="62">
        <v>0</v>
      </c>
    </row>
    <row r="76" spans="2:56" x14ac:dyDescent="0.3">
      <c r="B76" s="61" t="s">
        <v>134</v>
      </c>
      <c r="D76">
        <v>0</v>
      </c>
      <c r="E76">
        <v>0</v>
      </c>
      <c r="F76">
        <v>3.0016436238437002E-4</v>
      </c>
      <c r="G76">
        <v>3.0016436238437002E-4</v>
      </c>
      <c r="H76">
        <v>3.0016436238437002E-4</v>
      </c>
      <c r="I76">
        <v>3.0016436238437002E-4</v>
      </c>
      <c r="J76">
        <v>1.1340092540417301E-2</v>
      </c>
      <c r="K76">
        <v>1.1340092540417301E-2</v>
      </c>
      <c r="L76">
        <v>1.1340092540417301E-2</v>
      </c>
      <c r="M76">
        <v>1.1340092540417301E-2</v>
      </c>
      <c r="N76">
        <v>1.1340092540417301E-2</v>
      </c>
      <c r="O76">
        <v>4.22074538220003E-3</v>
      </c>
      <c r="P76">
        <v>1.1341095459230101E-2</v>
      </c>
      <c r="Q76">
        <v>1.1341095459230101E-2</v>
      </c>
      <c r="R76">
        <v>1.1341095459230101E-2</v>
      </c>
      <c r="S76">
        <v>1.00146865347407E-2</v>
      </c>
      <c r="T76">
        <v>1.1341158634639701E-2</v>
      </c>
      <c r="U76">
        <v>1.1341158634639701E-2</v>
      </c>
      <c r="V76">
        <v>7.2218227695316106E-2</v>
      </c>
      <c r="W76" s="44">
        <v>3.1809353654008998E-5</v>
      </c>
      <c r="X76">
        <v>0.61817050063192402</v>
      </c>
      <c r="Y76" s="44">
        <v>1.13482832849687E-2</v>
      </c>
      <c r="Z76">
        <v>1.13482832849687E-2</v>
      </c>
      <c r="AA76" s="44">
        <v>1.13482832849687E-2</v>
      </c>
      <c r="AB76" s="44">
        <v>0.27500320046278498</v>
      </c>
      <c r="AC76" s="44">
        <v>0.52654261272096303</v>
      </c>
      <c r="AD76" s="44">
        <v>1.2011612386860599E-3</v>
      </c>
      <c r="AE76" s="44">
        <v>0.95099668176893903</v>
      </c>
      <c r="AF76" s="44">
        <v>3.03250838461418E-4</v>
      </c>
      <c r="AG76">
        <v>3.03250838461418E-4</v>
      </c>
      <c r="AH76" s="44">
        <v>1.85446858038415E-7</v>
      </c>
      <c r="AI76" s="44">
        <v>1.85446858038415E-7</v>
      </c>
      <c r="AJ76" s="44">
        <v>1.85446858038415E-7</v>
      </c>
      <c r="AK76" s="44">
        <v>1.85446858038415E-7</v>
      </c>
      <c r="AL76" s="44">
        <v>1.85446858038415E-7</v>
      </c>
      <c r="AM76" s="44">
        <v>1.85446858038415E-7</v>
      </c>
      <c r="AN76" s="44">
        <v>1.85446858038415E-7</v>
      </c>
      <c r="AO76" s="44">
        <v>3.8290181140610701E-3</v>
      </c>
      <c r="AP76" s="44">
        <v>3.8290181140610701E-3</v>
      </c>
      <c r="AQ76" s="44">
        <v>3.8290181140610701E-3</v>
      </c>
      <c r="AR76">
        <v>3.8290181140610701E-3</v>
      </c>
      <c r="AS76">
        <v>3.8290181140610701E-3</v>
      </c>
      <c r="AT76">
        <v>3.8290181140610701E-3</v>
      </c>
      <c r="AU76">
        <v>3.8290181140610701E-3</v>
      </c>
      <c r="AV76" s="44">
        <v>2.81249905258268E-7</v>
      </c>
      <c r="AW76" s="44">
        <v>2.81249905258268E-7</v>
      </c>
      <c r="AX76" s="44">
        <v>2.81249905258268E-7</v>
      </c>
      <c r="AY76" s="44">
        <v>0</v>
      </c>
      <c r="AZ76" s="44">
        <v>0</v>
      </c>
      <c r="BA76" s="44">
        <v>0</v>
      </c>
      <c r="BB76" s="44">
        <v>0</v>
      </c>
      <c r="BC76">
        <v>0</v>
      </c>
      <c r="BD76" s="62">
        <v>0</v>
      </c>
    </row>
    <row r="77" spans="2:56" x14ac:dyDescent="0.3">
      <c r="B77" s="61" t="s">
        <v>164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62">
        <v>0</v>
      </c>
    </row>
    <row r="78" spans="2:56" x14ac:dyDescent="0.3">
      <c r="B78" s="61" t="s">
        <v>135</v>
      </c>
      <c r="D78">
        <v>0</v>
      </c>
      <c r="E78">
        <v>0</v>
      </c>
      <c r="F78" s="44">
        <v>1.6217986875306001E-12</v>
      </c>
      <c r="G78" s="44">
        <v>1.6217986875306001E-12</v>
      </c>
      <c r="H78" s="44">
        <v>1.6217986875306001E-12</v>
      </c>
      <c r="I78" s="44">
        <v>1.6217986875306001E-12</v>
      </c>
      <c r="J78">
        <v>6.6534291769818304E-4</v>
      </c>
      <c r="K78">
        <v>6.6534291769818304E-4</v>
      </c>
      <c r="L78">
        <v>6.6534291769818304E-4</v>
      </c>
      <c r="M78">
        <v>6.6534291769818304E-4</v>
      </c>
      <c r="N78">
        <v>6.6534291769818304E-4</v>
      </c>
      <c r="O78">
        <v>6.4111801732517806E-2</v>
      </c>
      <c r="P78">
        <v>6.6819614378396696E-4</v>
      </c>
      <c r="Q78">
        <v>6.6819614378396696E-4</v>
      </c>
      <c r="R78">
        <v>6.6819614378396696E-4</v>
      </c>
      <c r="S78">
        <v>0.26262913581028002</v>
      </c>
      <c r="T78">
        <v>6.5571923010436896E-4</v>
      </c>
      <c r="U78">
        <v>6.5571923010436896E-4</v>
      </c>
      <c r="V78">
        <v>0.87800464750239804</v>
      </c>
      <c r="W78" s="44">
        <v>0.99399585229074505</v>
      </c>
      <c r="X78" s="44">
        <v>7.5183981150537204E-4</v>
      </c>
      <c r="Y78" s="44">
        <v>3.0287763897222699E-5</v>
      </c>
      <c r="Z78" s="44">
        <v>3.0287763897222699E-5</v>
      </c>
      <c r="AA78" s="44">
        <v>3.0287763897222699E-5</v>
      </c>
      <c r="AB78" s="44">
        <v>7.5328405100791795E-4</v>
      </c>
      <c r="AC78" s="44">
        <v>1.4422972003822099E-3</v>
      </c>
      <c r="AD78" s="44">
        <v>2.42258785686542E-242</v>
      </c>
      <c r="AE78" s="44">
        <v>2.60761342233921E-3</v>
      </c>
      <c r="AF78" s="44">
        <v>1.6384355288418299E-12</v>
      </c>
      <c r="AG78" s="44">
        <v>1.6384355288418299E-12</v>
      </c>
      <c r="AH78" s="44">
        <v>3.8290607423090302E-22</v>
      </c>
      <c r="AI78" s="44">
        <v>3.8290607423090302E-22</v>
      </c>
      <c r="AJ78" s="44">
        <v>3.8290607423090302E-22</v>
      </c>
      <c r="AK78" s="44">
        <v>3.8290607423090302E-22</v>
      </c>
      <c r="AL78" s="44">
        <v>3.8290607423090302E-22</v>
      </c>
      <c r="AM78" s="44">
        <v>3.8290607423090302E-22</v>
      </c>
      <c r="AN78" s="44">
        <v>3.8290607423090302E-22</v>
      </c>
      <c r="AO78" s="44">
        <v>2.06994782383678E-11</v>
      </c>
      <c r="AP78" s="44">
        <v>2.06994782383678E-11</v>
      </c>
      <c r="AQ78" s="44">
        <v>2.06994782383678E-11</v>
      </c>
      <c r="AR78" s="44">
        <v>2.06994782383678E-11</v>
      </c>
      <c r="AS78" s="44">
        <v>2.06994782383678E-11</v>
      </c>
      <c r="AT78" s="44">
        <v>2.06994782383678E-11</v>
      </c>
      <c r="AU78" s="44">
        <v>2.06994782383678E-11</v>
      </c>
      <c r="AV78" s="44">
        <v>5.6869159216340498E-30</v>
      </c>
      <c r="AW78" s="44">
        <v>5.6869159216340498E-30</v>
      </c>
      <c r="AX78" s="44">
        <v>5.6869159216340498E-30</v>
      </c>
      <c r="AY78" s="44">
        <v>0</v>
      </c>
      <c r="AZ78" s="44">
        <v>0</v>
      </c>
      <c r="BA78" s="44">
        <v>0</v>
      </c>
      <c r="BB78" s="44">
        <v>0</v>
      </c>
      <c r="BC78">
        <v>0</v>
      </c>
      <c r="BD78" s="62">
        <v>0</v>
      </c>
    </row>
    <row r="79" spans="2:56" x14ac:dyDescent="0.3">
      <c r="B79" s="61" t="s">
        <v>136</v>
      </c>
      <c r="D79">
        <v>0</v>
      </c>
      <c r="E79">
        <v>0</v>
      </c>
      <c r="F79" s="44">
        <v>8.1622624610254395E-62</v>
      </c>
      <c r="G79" s="44">
        <v>8.1622624610254395E-62</v>
      </c>
      <c r="H79" s="44">
        <v>8.1622624610254395E-62</v>
      </c>
      <c r="I79" s="44">
        <v>8.1622624610254395E-62</v>
      </c>
      <c r="J79">
        <v>1.4288470804496499E-4</v>
      </c>
      <c r="K79">
        <v>1.4288470804496499E-4</v>
      </c>
      <c r="L79">
        <v>1.4288470804496499E-4</v>
      </c>
      <c r="M79">
        <v>1.4288470804496499E-4</v>
      </c>
      <c r="N79">
        <v>1.4288470804496499E-4</v>
      </c>
      <c r="O79">
        <v>0.91730411708360204</v>
      </c>
      <c r="P79" s="44">
        <v>3.72688848895934E-5</v>
      </c>
      <c r="Q79" s="44">
        <v>3.72688848895934E-5</v>
      </c>
      <c r="R79" s="44">
        <v>3.72688848895934E-5</v>
      </c>
      <c r="S79" s="44">
        <v>0.70366465230034503</v>
      </c>
      <c r="T79" s="44">
        <v>3.7558804827039399E-6</v>
      </c>
      <c r="U79" s="44">
        <v>3.7558804827039399E-6</v>
      </c>
      <c r="V79" s="44">
        <v>5.2719155121574201E-3</v>
      </c>
      <c r="W79" s="44">
        <v>5.96897321887329E-3</v>
      </c>
      <c r="X79" s="44">
        <v>4.1030972559503999E-12</v>
      </c>
      <c r="Y79" s="44">
        <v>3.2378395582777001E-11</v>
      </c>
      <c r="Z79" s="44">
        <v>3.2378395582777001E-11</v>
      </c>
      <c r="AA79" s="44">
        <v>3.2378395582777001E-11</v>
      </c>
      <c r="AB79" s="44">
        <v>8.0527999157827601E-10</v>
      </c>
      <c r="AC79" s="44">
        <v>1.54185273911361E-9</v>
      </c>
      <c r="AD79" s="44">
        <v>0</v>
      </c>
      <c r="AE79" s="44">
        <v>2.7876057006265301E-9</v>
      </c>
      <c r="AF79" s="44">
        <v>3.62648874841742E-25</v>
      </c>
      <c r="AG79" s="44">
        <v>3.62648874841742E-25</v>
      </c>
      <c r="AH79" s="44">
        <v>0</v>
      </c>
      <c r="AI79" s="44">
        <v>0</v>
      </c>
      <c r="AJ79">
        <v>0</v>
      </c>
      <c r="AK79">
        <v>0</v>
      </c>
      <c r="AL79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>
        <v>0</v>
      </c>
      <c r="AS79">
        <v>0</v>
      </c>
      <c r="AT79">
        <v>0</v>
      </c>
      <c r="AU79">
        <v>0</v>
      </c>
      <c r="AV79" s="44">
        <v>4.1203973339763598E-60</v>
      </c>
      <c r="AW79" s="44">
        <v>4.1203973339763598E-60</v>
      </c>
      <c r="AX79" s="44">
        <v>4.1203973339763598E-60</v>
      </c>
      <c r="AY79">
        <v>0</v>
      </c>
      <c r="AZ79">
        <v>0</v>
      </c>
      <c r="BA79">
        <v>0</v>
      </c>
      <c r="BB79">
        <v>0</v>
      </c>
      <c r="BC79">
        <v>0</v>
      </c>
      <c r="BD79" s="62">
        <v>0</v>
      </c>
    </row>
    <row r="80" spans="2:56" x14ac:dyDescent="0.3">
      <c r="B80" s="61" t="s">
        <v>91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0.498567784233718</v>
      </c>
      <c r="BB80">
        <v>0.498567784233718</v>
      </c>
      <c r="BC80">
        <v>0</v>
      </c>
      <c r="BD80" s="62">
        <v>0</v>
      </c>
    </row>
    <row r="81" spans="2:56" x14ac:dyDescent="0.3">
      <c r="B81" s="61" t="s">
        <v>165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s="62">
        <v>0</v>
      </c>
    </row>
    <row r="82" spans="2:56" x14ac:dyDescent="0.3">
      <c r="B82" s="61" t="s">
        <v>166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0.50143221576628205</v>
      </c>
      <c r="BB82">
        <v>0.50143221576628205</v>
      </c>
      <c r="BC82">
        <v>5.7125000000000101E-3</v>
      </c>
      <c r="BD82" s="62">
        <v>5.7125000000000101E-3</v>
      </c>
    </row>
    <row r="83" spans="2:56" x14ac:dyDescent="0.3">
      <c r="B83" s="61" t="s">
        <v>167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0.99428749999999999</v>
      </c>
      <c r="BD83" s="62">
        <v>0.99428749999999999</v>
      </c>
    </row>
    <row r="84" spans="2:56" x14ac:dyDescent="0.3">
      <c r="B84" s="61" t="s">
        <v>118</v>
      </c>
      <c r="C84" t="s">
        <v>119</v>
      </c>
      <c r="D84">
        <v>211552.667568</v>
      </c>
      <c r="E84" s="44">
        <v>2.0158800000000001E-5</v>
      </c>
      <c r="F84">
        <v>1028831.73369842</v>
      </c>
      <c r="G84">
        <v>1028831.73369842</v>
      </c>
      <c r="H84">
        <v>1028831.73369842</v>
      </c>
      <c r="I84">
        <v>1028831.73369842</v>
      </c>
      <c r="J84">
        <v>1012012.4587809</v>
      </c>
      <c r="K84">
        <v>1012012.4587809</v>
      </c>
      <c r="L84">
        <v>1012012.4587809</v>
      </c>
      <c r="M84">
        <v>1012012.4587809</v>
      </c>
      <c r="N84">
        <v>1012012.4587809</v>
      </c>
      <c r="O84">
        <v>4312.9737713518198</v>
      </c>
      <c r="P84">
        <v>1008836.94288819</v>
      </c>
      <c r="Q84">
        <v>1008836.94288819</v>
      </c>
      <c r="R84">
        <v>1008836.94288819</v>
      </c>
      <c r="S84">
        <v>1226.5585432693399</v>
      </c>
      <c r="T84">
        <v>1007610.3843449201</v>
      </c>
      <c r="U84">
        <v>1007610.3843449201</v>
      </c>
      <c r="V84">
        <v>11868.2876072857</v>
      </c>
      <c r="W84">
        <v>11415.9923572681</v>
      </c>
      <c r="X84">
        <v>452.33169968899398</v>
      </c>
      <c r="Y84">
        <v>996194.42843732599</v>
      </c>
      <c r="Z84">
        <v>996194.42843732599</v>
      </c>
      <c r="AA84">
        <v>996194.42843732599</v>
      </c>
      <c r="AB84">
        <v>201138.333702242</v>
      </c>
      <c r="AC84">
        <v>131664.13868242799</v>
      </c>
      <c r="AD84">
        <v>60867.666647693899</v>
      </c>
      <c r="AE84">
        <v>70796.472034733597</v>
      </c>
      <c r="AF84">
        <v>795056.09473508399</v>
      </c>
      <c r="AG84">
        <v>795056.09473508399</v>
      </c>
      <c r="AH84">
        <v>514716.78629360098</v>
      </c>
      <c r="AI84">
        <v>514716.78629360098</v>
      </c>
      <c r="AJ84">
        <v>514716.78629360098</v>
      </c>
      <c r="AK84">
        <v>514716.78629360098</v>
      </c>
      <c r="AL84">
        <v>514716.78629360098</v>
      </c>
      <c r="AM84">
        <v>470921.69892802997</v>
      </c>
      <c r="AN84">
        <v>43795.087365572603</v>
      </c>
      <c r="AO84">
        <v>280381.73142688902</v>
      </c>
      <c r="AP84">
        <v>280381.73142688902</v>
      </c>
      <c r="AQ84">
        <v>280381.73142688902</v>
      </c>
      <c r="AR84">
        <v>280381.73142688902</v>
      </c>
      <c r="AS84">
        <v>280381.73142688902</v>
      </c>
      <c r="AT84">
        <v>277577.91411262</v>
      </c>
      <c r="AU84">
        <v>2803.8173142688902</v>
      </c>
      <c r="AV84">
        <v>69474.195019814302</v>
      </c>
      <c r="AW84">
        <v>68779.4530696164</v>
      </c>
      <c r="AX84">
        <v>694.74195019814397</v>
      </c>
      <c r="AY84">
        <v>16719.342027499999</v>
      </c>
      <c r="AZ84">
        <v>44798.32</v>
      </c>
      <c r="BA84">
        <v>61517.662027500199</v>
      </c>
      <c r="BB84">
        <v>61517.662027500199</v>
      </c>
      <c r="BC84">
        <v>61517.662027500199</v>
      </c>
      <c r="BD84" s="62">
        <v>61517.662027500199</v>
      </c>
    </row>
    <row r="85" spans="2:56" x14ac:dyDescent="0.3">
      <c r="B85" s="61" t="s">
        <v>131</v>
      </c>
      <c r="C85" t="s">
        <v>119</v>
      </c>
      <c r="D85">
        <v>0</v>
      </c>
      <c r="E85" s="44">
        <v>2.0158800000000001E-5</v>
      </c>
      <c r="F85">
        <v>364610.22019186302</v>
      </c>
      <c r="G85">
        <v>364610.22019186302</v>
      </c>
      <c r="H85">
        <v>364610.22019186302</v>
      </c>
      <c r="I85">
        <v>364610.22019186302</v>
      </c>
      <c r="J85">
        <v>398426.25792997202</v>
      </c>
      <c r="K85">
        <v>398426.25792997202</v>
      </c>
      <c r="L85">
        <v>398426.25792997202</v>
      </c>
      <c r="M85">
        <v>398426.25792997202</v>
      </c>
      <c r="N85">
        <v>398426.25792997202</v>
      </c>
      <c r="O85">
        <v>0.423259636634224</v>
      </c>
      <c r="P85">
        <v>398391.07681772002</v>
      </c>
      <c r="Q85">
        <v>398391.07681771897</v>
      </c>
      <c r="R85">
        <v>398391.07681771897</v>
      </c>
      <c r="S85">
        <v>0.18074049769587</v>
      </c>
      <c r="T85">
        <v>398390.89607722202</v>
      </c>
      <c r="U85">
        <v>398390.89607722202</v>
      </c>
      <c r="V85">
        <v>2.0635361185662302</v>
      </c>
      <c r="W85" s="44">
        <v>1.15783125066375E-7</v>
      </c>
      <c r="X85">
        <v>2.06369947672811</v>
      </c>
      <c r="Y85" s="44">
        <v>398390.89624058001</v>
      </c>
      <c r="Z85" s="44">
        <v>398390.89624058001</v>
      </c>
      <c r="AA85">
        <v>398390.89624058001</v>
      </c>
      <c r="AB85">
        <v>256.35000485940799</v>
      </c>
      <c r="AC85" s="44">
        <v>2.1245063170852801E-9</v>
      </c>
      <c r="AD85" s="44">
        <v>2.1245063170851999E-9</v>
      </c>
      <c r="AE85" s="44">
        <v>4.3749577948269799E-39</v>
      </c>
      <c r="AF85" s="44">
        <v>398134.54623572098</v>
      </c>
      <c r="AG85" s="44">
        <v>398134.54623572098</v>
      </c>
      <c r="AH85">
        <v>397268.06828999502</v>
      </c>
      <c r="AI85">
        <v>397268.06828999502</v>
      </c>
      <c r="AJ85">
        <v>397268.06828999502</v>
      </c>
      <c r="AK85">
        <v>397268.06828999502</v>
      </c>
      <c r="AL85">
        <v>397268.06828999502</v>
      </c>
      <c r="AM85">
        <v>363466.19855966198</v>
      </c>
      <c r="AN85">
        <v>33801.869730334198</v>
      </c>
      <c r="AO85">
        <v>899.22738104521602</v>
      </c>
      <c r="AP85">
        <v>899.22738104521602</v>
      </c>
      <c r="AQ85">
        <v>899.22738104521602</v>
      </c>
      <c r="AR85">
        <v>899.22738104521602</v>
      </c>
      <c r="AS85">
        <v>899.22738104521602</v>
      </c>
      <c r="AT85">
        <v>890.23510723476295</v>
      </c>
      <c r="AU85">
        <v>8.9922738104521596</v>
      </c>
      <c r="AV85">
        <v>256.35000485728199</v>
      </c>
      <c r="AW85">
        <v>253.78650480870999</v>
      </c>
      <c r="AX85">
        <v>2.5635000485728199</v>
      </c>
      <c r="AY85">
        <v>0</v>
      </c>
      <c r="AZ85">
        <v>0</v>
      </c>
      <c r="BA85">
        <v>0</v>
      </c>
      <c r="BB85">
        <v>0</v>
      </c>
      <c r="BC85">
        <v>0</v>
      </c>
      <c r="BD85" s="62">
        <v>0</v>
      </c>
    </row>
    <row r="86" spans="2:56" x14ac:dyDescent="0.3">
      <c r="B86" s="61" t="s">
        <v>130</v>
      </c>
      <c r="C86" t="s">
        <v>119</v>
      </c>
      <c r="D86">
        <v>211552.667568</v>
      </c>
      <c r="E86">
        <v>0</v>
      </c>
      <c r="F86">
        <v>652875.11696004798</v>
      </c>
      <c r="G86">
        <v>652875.11696004798</v>
      </c>
      <c r="H86">
        <v>652875.11696004798</v>
      </c>
      <c r="I86">
        <v>652875.11696004798</v>
      </c>
      <c r="J86">
        <v>454724.59638074</v>
      </c>
      <c r="K86">
        <v>454724.59638074</v>
      </c>
      <c r="L86">
        <v>454724.59638074</v>
      </c>
      <c r="M86">
        <v>454724.59638074</v>
      </c>
      <c r="N86">
        <v>454724.59638074</v>
      </c>
      <c r="O86">
        <v>3.2586722828767098</v>
      </c>
      <c r="P86">
        <v>454683.26948327897</v>
      </c>
      <c r="Q86">
        <v>454683.26948327897</v>
      </c>
      <c r="R86">
        <v>454683.26948327897</v>
      </c>
      <c r="S86">
        <v>1.80254867817968</v>
      </c>
      <c r="T86">
        <v>454681.46693459997</v>
      </c>
      <c r="U86">
        <v>454681.46693459997</v>
      </c>
      <c r="V86">
        <v>51.231839587394198</v>
      </c>
      <c r="W86">
        <v>1.20189448836764E-4</v>
      </c>
      <c r="X86">
        <v>51.235775424219497</v>
      </c>
      <c r="Y86">
        <v>454681.47087043797</v>
      </c>
      <c r="Z86">
        <v>454681.47087043797</v>
      </c>
      <c r="AA86">
        <v>454681.47087043797</v>
      </c>
      <c r="AB86">
        <v>69218.666441139605</v>
      </c>
      <c r="AC86">
        <v>6.9218305596728902</v>
      </c>
      <c r="AD86">
        <v>6.9218305596724301</v>
      </c>
      <c r="AE86" s="44">
        <v>1.81203311657611E-13</v>
      </c>
      <c r="AF86" s="44">
        <v>385462.80442929902</v>
      </c>
      <c r="AG86">
        <v>385462.80442929902</v>
      </c>
      <c r="AH86">
        <v>117398.058733834</v>
      </c>
      <c r="AI86">
        <v>117398.058733834</v>
      </c>
      <c r="AJ86">
        <v>117398.058733834</v>
      </c>
      <c r="AK86">
        <v>117398.058733834</v>
      </c>
      <c r="AL86">
        <v>117398.058733834</v>
      </c>
      <c r="AM86">
        <v>107409.15148287801</v>
      </c>
      <c r="AN86">
        <v>9988.9072509559301</v>
      </c>
      <c r="AO86">
        <v>268074.414893632</v>
      </c>
      <c r="AP86">
        <v>268074.414893632</v>
      </c>
      <c r="AQ86">
        <v>268074.414893632</v>
      </c>
      <c r="AR86">
        <v>268074.414893632</v>
      </c>
      <c r="AS86">
        <v>268074.414893632</v>
      </c>
      <c r="AT86">
        <v>265393.670744695</v>
      </c>
      <c r="AU86">
        <v>2680.74414893632</v>
      </c>
      <c r="AV86">
        <v>69211.744610579903</v>
      </c>
      <c r="AW86">
        <v>68519.627164474296</v>
      </c>
      <c r="AX86">
        <v>692.11744610579899</v>
      </c>
      <c r="AY86">
        <v>0</v>
      </c>
      <c r="AZ86">
        <v>0</v>
      </c>
      <c r="BA86">
        <v>0</v>
      </c>
      <c r="BB86">
        <v>0</v>
      </c>
      <c r="BC86">
        <v>0</v>
      </c>
      <c r="BD86" s="62">
        <v>0</v>
      </c>
    </row>
    <row r="87" spans="2:56" x14ac:dyDescent="0.3">
      <c r="B87" s="61" t="s">
        <v>132</v>
      </c>
      <c r="C87" t="s">
        <v>119</v>
      </c>
      <c r="D87">
        <v>0</v>
      </c>
      <c r="E87">
        <v>0</v>
      </c>
      <c r="F87">
        <v>115.996404618079</v>
      </c>
      <c r="G87">
        <v>115.996404618079</v>
      </c>
      <c r="H87">
        <v>115.996404618079</v>
      </c>
      <c r="I87">
        <v>115.996404618079</v>
      </c>
      <c r="J87">
        <v>3799.5111434147002</v>
      </c>
      <c r="K87">
        <v>3799.5111434147002</v>
      </c>
      <c r="L87">
        <v>3799.5111434147002</v>
      </c>
      <c r="M87">
        <v>3799.5111434147002</v>
      </c>
      <c r="N87">
        <v>3799.5111434147002</v>
      </c>
      <c r="O87">
        <v>0.191187734227102</v>
      </c>
      <c r="P87">
        <v>3799.1088471066901</v>
      </c>
      <c r="Q87">
        <v>3799.1088471066901</v>
      </c>
      <c r="R87">
        <v>3799.1088471066901</v>
      </c>
      <c r="S87">
        <v>0.12795038340911399</v>
      </c>
      <c r="T87">
        <v>3798.9808967232698</v>
      </c>
      <c r="U87">
        <v>3798.9808967232698</v>
      </c>
      <c r="V87">
        <v>7.8258907813210001</v>
      </c>
      <c r="W87">
        <v>3.2337357518771098E-3</v>
      </c>
      <c r="X87">
        <v>7.8232852260179797</v>
      </c>
      <c r="Y87">
        <v>3798.9782911679699</v>
      </c>
      <c r="Z87">
        <v>3798.9782911679699</v>
      </c>
      <c r="AA87">
        <v>3798.9782911679699</v>
      </c>
      <c r="AB87">
        <v>3681.80356023276</v>
      </c>
      <c r="AC87">
        <v>3681.8027330076302</v>
      </c>
      <c r="AD87" s="44">
        <v>2.83912197380485E-11</v>
      </c>
      <c r="AE87">
        <v>3681.8027330077098</v>
      </c>
      <c r="AF87">
        <v>117.17473093518601</v>
      </c>
      <c r="AG87" s="44">
        <v>117.17473093518601</v>
      </c>
      <c r="AH87">
        <v>9.8631624369449597E-2</v>
      </c>
      <c r="AI87">
        <v>9.8631624369449597E-2</v>
      </c>
      <c r="AJ87">
        <v>9.8631624369449597E-2</v>
      </c>
      <c r="AK87">
        <v>9.8631624369449597E-2</v>
      </c>
      <c r="AL87">
        <v>9.8631624369449597E-2</v>
      </c>
      <c r="AM87">
        <v>9.0239474120430305E-2</v>
      </c>
      <c r="AN87">
        <v>8.3921502490195508E-3</v>
      </c>
      <c r="AO87" s="44">
        <v>117.07610726371701</v>
      </c>
      <c r="AP87">
        <v>117.07610726371701</v>
      </c>
      <c r="AQ87" s="44">
        <v>117.07610726371701</v>
      </c>
      <c r="AR87">
        <v>117.07610726371701</v>
      </c>
      <c r="AS87">
        <v>117.07610726371701</v>
      </c>
      <c r="AT87">
        <v>115.90534619108</v>
      </c>
      <c r="AU87">
        <v>1.17076107263717</v>
      </c>
      <c r="AV87">
        <v>8.2722512996638196E-4</v>
      </c>
      <c r="AW87">
        <v>8.1895287866671997E-4</v>
      </c>
      <c r="AX87" s="44">
        <v>8.2722512996638206E-6</v>
      </c>
      <c r="AY87">
        <v>0</v>
      </c>
      <c r="AZ87">
        <v>0</v>
      </c>
      <c r="BA87">
        <v>0</v>
      </c>
      <c r="BB87">
        <v>0</v>
      </c>
      <c r="BC87">
        <v>0</v>
      </c>
      <c r="BD87" s="62">
        <v>0</v>
      </c>
    </row>
    <row r="88" spans="2:56" x14ac:dyDescent="0.3">
      <c r="B88" s="61" t="s">
        <v>133</v>
      </c>
      <c r="C88" t="s">
        <v>119</v>
      </c>
      <c r="D88">
        <v>0</v>
      </c>
      <c r="E88">
        <v>0</v>
      </c>
      <c r="F88">
        <v>9495.5311530729705</v>
      </c>
      <c r="G88">
        <v>9495.5311530729705</v>
      </c>
      <c r="H88">
        <v>9495.5311530729705</v>
      </c>
      <c r="I88">
        <v>9495.5311530729705</v>
      </c>
      <c r="J88">
        <v>70458.052584198405</v>
      </c>
      <c r="K88">
        <v>70458.052584198405</v>
      </c>
      <c r="L88">
        <v>70458.052584198405</v>
      </c>
      <c r="M88">
        <v>70458.052584198405</v>
      </c>
      <c r="N88">
        <v>70458.052584198405</v>
      </c>
      <c r="O88">
        <v>2.3771481408673898</v>
      </c>
      <c r="P88">
        <v>70450.470572388294</v>
      </c>
      <c r="Q88">
        <v>70450.470572388294</v>
      </c>
      <c r="R88">
        <v>70450.470572388294</v>
      </c>
      <c r="S88">
        <v>1.5379007126894899</v>
      </c>
      <c r="T88">
        <v>70448.932671675604</v>
      </c>
      <c r="U88">
        <v>70448.932671675604</v>
      </c>
      <c r="V88">
        <v>80.205930383259997</v>
      </c>
      <c r="W88">
        <v>1.0515884609507999E-2</v>
      </c>
      <c r="X88">
        <v>80.202353731661404</v>
      </c>
      <c r="Y88">
        <v>70448.929095024097</v>
      </c>
      <c r="Z88">
        <v>70448.929095024097</v>
      </c>
      <c r="AA88">
        <v>70448.929095024097</v>
      </c>
      <c r="AB88">
        <v>60859.794919448999</v>
      </c>
      <c r="AC88">
        <v>60853.7278687117</v>
      </c>
      <c r="AD88">
        <v>60792.874954912302</v>
      </c>
      <c r="AE88">
        <v>60.852913797074102</v>
      </c>
      <c r="AF88">
        <v>9589.1341755746798</v>
      </c>
      <c r="AG88">
        <v>9589.1341755746798</v>
      </c>
      <c r="AH88">
        <v>49.573716945015398</v>
      </c>
      <c r="AI88">
        <v>49.573716945015398</v>
      </c>
      <c r="AJ88">
        <v>49.573716945015398</v>
      </c>
      <c r="AK88">
        <v>49.573716945015398</v>
      </c>
      <c r="AL88">
        <v>49.573716945015398</v>
      </c>
      <c r="AM88">
        <v>45.355697788739697</v>
      </c>
      <c r="AN88">
        <v>4.2180191562757798</v>
      </c>
      <c r="AO88">
        <v>9539.5647222771804</v>
      </c>
      <c r="AP88">
        <v>9539.5647222771804</v>
      </c>
      <c r="AQ88">
        <v>9539.5647222771804</v>
      </c>
      <c r="AR88">
        <v>9539.5647222771804</v>
      </c>
      <c r="AS88">
        <v>9539.5647222771804</v>
      </c>
      <c r="AT88">
        <v>9444.1690750544003</v>
      </c>
      <c r="AU88">
        <v>95.3956472227718</v>
      </c>
      <c r="AV88">
        <v>6.0670507371924698</v>
      </c>
      <c r="AW88">
        <v>6.00638022982056</v>
      </c>
      <c r="AX88">
        <v>6.0670507371924802E-2</v>
      </c>
      <c r="AY88">
        <v>0</v>
      </c>
      <c r="AZ88">
        <v>0</v>
      </c>
      <c r="BA88">
        <v>0</v>
      </c>
      <c r="BB88">
        <v>0</v>
      </c>
      <c r="BC88">
        <v>0</v>
      </c>
      <c r="BD88" s="62">
        <v>0</v>
      </c>
    </row>
    <row r="89" spans="2:56" x14ac:dyDescent="0.3">
      <c r="B89" s="61" t="s">
        <v>134</v>
      </c>
      <c r="C89" t="s">
        <v>119</v>
      </c>
      <c r="D89">
        <v>0</v>
      </c>
      <c r="E89">
        <v>0</v>
      </c>
      <c r="F89">
        <v>1734.86896070136</v>
      </c>
      <c r="G89">
        <v>1734.86896070136</v>
      </c>
      <c r="H89">
        <v>1734.86896070136</v>
      </c>
      <c r="I89">
        <v>1734.86896070136</v>
      </c>
      <c r="J89">
        <v>68337.109143462207</v>
      </c>
      <c r="K89">
        <v>68337.109143462207</v>
      </c>
      <c r="L89">
        <v>68337.109143462207</v>
      </c>
      <c r="M89">
        <v>68337.109143462207</v>
      </c>
      <c r="N89">
        <v>68337.109143462207</v>
      </c>
      <c r="O89">
        <v>3.8576738654275502</v>
      </c>
      <c r="P89">
        <v>68330.042369586401</v>
      </c>
      <c r="Q89">
        <v>68330.042369586401</v>
      </c>
      <c r="R89">
        <v>68330.042369586401</v>
      </c>
      <c r="S89">
        <v>2.8737169569751799</v>
      </c>
      <c r="T89">
        <v>68327.168652629305</v>
      </c>
      <c r="U89">
        <v>68327.168652629305</v>
      </c>
      <c r="V89">
        <v>309.97195797109902</v>
      </c>
      <c r="W89">
        <v>0.12058665165566899</v>
      </c>
      <c r="X89">
        <v>309.87594110855702</v>
      </c>
      <c r="Y89">
        <v>68327.072635766905</v>
      </c>
      <c r="Z89">
        <v>68327.072635766905</v>
      </c>
      <c r="AA89">
        <v>68327.072635766905</v>
      </c>
      <c r="AB89">
        <v>66574.637500616998</v>
      </c>
      <c r="AC89">
        <v>66574.604974202201</v>
      </c>
      <c r="AD89">
        <v>67.869862219791401</v>
      </c>
      <c r="AE89">
        <v>66506.735111984206</v>
      </c>
      <c r="AF89">
        <v>1752.4351351493699</v>
      </c>
      <c r="AG89">
        <v>1752.4351351493699</v>
      </c>
      <c r="AH89">
        <v>0.98692120252436</v>
      </c>
      <c r="AI89">
        <v>0.98692120252436</v>
      </c>
      <c r="AJ89">
        <v>0.98692120252436</v>
      </c>
      <c r="AK89">
        <v>0.98692120252436</v>
      </c>
      <c r="AL89">
        <v>0.98692120252436</v>
      </c>
      <c r="AM89">
        <v>0.90294822663071095</v>
      </c>
      <c r="AN89">
        <v>8.3972975893651505E-2</v>
      </c>
      <c r="AO89">
        <v>1751.4482942667</v>
      </c>
      <c r="AP89">
        <v>1751.4482942667</v>
      </c>
      <c r="AQ89">
        <v>1751.4482942667</v>
      </c>
      <c r="AR89">
        <v>1751.4482942667</v>
      </c>
      <c r="AS89">
        <v>1751.4482942667</v>
      </c>
      <c r="AT89">
        <v>1733.9338113240301</v>
      </c>
      <c r="AU89">
        <v>17.514482942667001</v>
      </c>
      <c r="AV89">
        <v>3.2526414847736398E-2</v>
      </c>
      <c r="AW89">
        <v>3.2201150699259197E-2</v>
      </c>
      <c r="AX89">
        <v>3.25264148477364E-4</v>
      </c>
      <c r="AY89">
        <v>0</v>
      </c>
      <c r="AZ89">
        <v>0</v>
      </c>
      <c r="BA89">
        <v>0</v>
      </c>
      <c r="BB89">
        <v>0</v>
      </c>
      <c r="BC89">
        <v>0</v>
      </c>
      <c r="BD89" s="62">
        <v>0</v>
      </c>
    </row>
    <row r="90" spans="2:56" x14ac:dyDescent="0.3">
      <c r="B90" s="61" t="s">
        <v>164</v>
      </c>
      <c r="C90" t="s">
        <v>119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62">
        <v>0</v>
      </c>
    </row>
    <row r="91" spans="2:56" x14ac:dyDescent="0.3">
      <c r="B91" s="61" t="s">
        <v>135</v>
      </c>
      <c r="C91" t="s">
        <v>119</v>
      </c>
      <c r="D91">
        <v>0</v>
      </c>
      <c r="E91">
        <v>0</v>
      </c>
      <c r="F91" s="44">
        <v>2.8120675430817401E-5</v>
      </c>
      <c r="G91" s="44">
        <v>2.8120675430817401E-5</v>
      </c>
      <c r="H91" s="44">
        <v>2.8120675430817401E-5</v>
      </c>
      <c r="I91" s="44">
        <v>2.8120675430817401E-5</v>
      </c>
      <c r="J91">
        <v>12028.3705152808</v>
      </c>
      <c r="K91">
        <v>12028.3705152808</v>
      </c>
      <c r="L91">
        <v>12028.3705152808</v>
      </c>
      <c r="M91">
        <v>12028.3705152808</v>
      </c>
      <c r="N91">
        <v>12028.3705152808</v>
      </c>
      <c r="O91">
        <v>175.79057698104401</v>
      </c>
      <c r="P91">
        <v>12077.6350873918</v>
      </c>
      <c r="Q91">
        <v>12077.6350873918</v>
      </c>
      <c r="R91">
        <v>12077.6350873918</v>
      </c>
      <c r="S91">
        <v>226.08450050502</v>
      </c>
      <c r="T91">
        <v>11851.5505868868</v>
      </c>
      <c r="U91">
        <v>11851.5505868868</v>
      </c>
      <c r="V91">
        <v>11305.600886894699</v>
      </c>
      <c r="W91">
        <v>11304.4703351516</v>
      </c>
      <c r="X91">
        <v>1.13064471168527</v>
      </c>
      <c r="Y91">
        <v>547.08034470419</v>
      </c>
      <c r="Z91">
        <v>547.08034470419</v>
      </c>
      <c r="AA91" s="44">
        <v>547.08034470419</v>
      </c>
      <c r="AB91" s="44">
        <v>547.08031629946299</v>
      </c>
      <c r="AC91" s="44">
        <v>547.08031629946299</v>
      </c>
      <c r="AD91" s="44">
        <v>4.1065437036743099E-237</v>
      </c>
      <c r="AE91" s="44">
        <v>547.080316299478</v>
      </c>
      <c r="AF91" s="44">
        <v>2.8404722657854599E-5</v>
      </c>
      <c r="AG91" s="44">
        <v>2.8404722657854599E-5</v>
      </c>
      <c r="AH91" s="44">
        <v>6.1133112833148697E-15</v>
      </c>
      <c r="AI91" s="44">
        <v>6.1133112833148697E-15</v>
      </c>
      <c r="AJ91" s="44">
        <v>6.1133112833148697E-15</v>
      </c>
      <c r="AK91" s="44">
        <v>6.1133112833148697E-15</v>
      </c>
      <c r="AL91" s="44">
        <v>6.1133112833148697E-15</v>
      </c>
      <c r="AM91" s="44">
        <v>5.5931553278939997E-15</v>
      </c>
      <c r="AN91" s="44">
        <v>5.20155955420885E-16</v>
      </c>
      <c r="AO91" s="44">
        <v>2.84047226517416E-5</v>
      </c>
      <c r="AP91" s="44">
        <v>2.84047226517416E-5</v>
      </c>
      <c r="AQ91" s="44">
        <v>2.84047226517416E-5</v>
      </c>
      <c r="AR91" s="44">
        <v>2.84047226517416E-5</v>
      </c>
      <c r="AS91" s="44">
        <v>2.84047226517416E-5</v>
      </c>
      <c r="AT91" s="44">
        <v>2.8120675425224199E-5</v>
      </c>
      <c r="AU91" s="44">
        <v>2.8404722651741601E-7</v>
      </c>
      <c r="AV91" s="44">
        <v>1.97306718700659E-24</v>
      </c>
      <c r="AW91" s="44">
        <v>1.9533365151365301E-24</v>
      </c>
      <c r="AX91" s="44">
        <v>1.9730671870065899E-26</v>
      </c>
      <c r="AY91" s="44">
        <v>0</v>
      </c>
      <c r="AZ91" s="44">
        <v>0</v>
      </c>
      <c r="BA91" s="44">
        <v>0</v>
      </c>
      <c r="BB91" s="44">
        <v>0</v>
      </c>
      <c r="BC91">
        <v>0</v>
      </c>
      <c r="BD91" s="62">
        <v>0</v>
      </c>
    </row>
    <row r="92" spans="2:56" x14ac:dyDescent="0.3">
      <c r="B92" s="61" t="s">
        <v>136</v>
      </c>
      <c r="C92" t="s">
        <v>119</v>
      </c>
      <c r="D92">
        <v>0</v>
      </c>
      <c r="E92">
        <v>0</v>
      </c>
      <c r="F92" s="44">
        <v>2.32225974659644E-54</v>
      </c>
      <c r="G92" s="44">
        <v>2.32225974659644E-54</v>
      </c>
      <c r="H92" s="44">
        <v>2.32225974659644E-54</v>
      </c>
      <c r="I92" s="44">
        <v>2.32225974659644E-54</v>
      </c>
      <c r="J92">
        <v>4238.5610838294897</v>
      </c>
      <c r="K92">
        <v>4238.5610838294897</v>
      </c>
      <c r="L92">
        <v>4238.5610838294897</v>
      </c>
      <c r="M92">
        <v>4238.5610838294897</v>
      </c>
      <c r="N92">
        <v>4238.5610838294897</v>
      </c>
      <c r="O92">
        <v>4127.0752527107397</v>
      </c>
      <c r="P92">
        <v>1105.33971071976</v>
      </c>
      <c r="Q92">
        <v>1105.33971071976</v>
      </c>
      <c r="R92">
        <v>1105.33971071976</v>
      </c>
      <c r="S92">
        <v>993.95118553536804</v>
      </c>
      <c r="T92">
        <v>111.38852518434901</v>
      </c>
      <c r="U92">
        <v>111.38852518434901</v>
      </c>
      <c r="V92">
        <v>111.387565549353</v>
      </c>
      <c r="W92">
        <v>111.3875655392</v>
      </c>
      <c r="X92" s="44">
        <v>1.01247447610021E-8</v>
      </c>
      <c r="Y92">
        <v>9.5964512408277397E-4</v>
      </c>
      <c r="Z92" s="44">
        <v>9.5964512408277397E-4</v>
      </c>
      <c r="AA92">
        <v>9.5964512408277397E-4</v>
      </c>
      <c r="AB92">
        <v>9.5964512408275499E-4</v>
      </c>
      <c r="AC92">
        <v>9.5964512408275597E-4</v>
      </c>
      <c r="AD92">
        <v>0</v>
      </c>
      <c r="AE92">
        <v>9.59645124082786E-4</v>
      </c>
      <c r="AF92" s="44">
        <v>1.03161813053761E-17</v>
      </c>
      <c r="AG92" s="44">
        <v>1.03161813053761E-17</v>
      </c>
      <c r="AH92" s="44">
        <v>0</v>
      </c>
      <c r="AI92" s="44">
        <v>0</v>
      </c>
      <c r="AJ92">
        <v>0</v>
      </c>
      <c r="AK92">
        <v>0</v>
      </c>
      <c r="AL92">
        <v>0</v>
      </c>
      <c r="AM92" s="44">
        <v>0</v>
      </c>
      <c r="AN92" s="44">
        <v>0</v>
      </c>
      <c r="AO92" s="44">
        <v>0</v>
      </c>
      <c r="AP92" s="44">
        <v>0</v>
      </c>
      <c r="AQ92" s="44">
        <v>0</v>
      </c>
      <c r="AR92">
        <v>0</v>
      </c>
      <c r="AS92">
        <v>0</v>
      </c>
      <c r="AT92">
        <v>0</v>
      </c>
      <c r="AU92">
        <v>0</v>
      </c>
      <c r="AV92" s="44">
        <v>2.34571691575398E-54</v>
      </c>
      <c r="AW92" s="44">
        <v>2.32225974659644E-54</v>
      </c>
      <c r="AX92" s="44">
        <v>2.3457169157539799E-56</v>
      </c>
      <c r="AY92">
        <v>0</v>
      </c>
      <c r="AZ92">
        <v>0</v>
      </c>
      <c r="BA92">
        <v>0</v>
      </c>
      <c r="BB92">
        <v>0</v>
      </c>
      <c r="BC92">
        <v>0</v>
      </c>
      <c r="BD92" s="62">
        <v>0</v>
      </c>
    </row>
    <row r="93" spans="2:56" x14ac:dyDescent="0.3">
      <c r="B93" s="61" t="s">
        <v>91</v>
      </c>
      <c r="C93" t="s">
        <v>119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16719.342027499999</v>
      </c>
      <c r="AZ93">
        <v>0</v>
      </c>
      <c r="BA93">
        <v>16719.342027500101</v>
      </c>
      <c r="BB93">
        <v>16719.342027500101</v>
      </c>
      <c r="BC93">
        <v>0</v>
      </c>
      <c r="BD93" s="62">
        <v>0</v>
      </c>
    </row>
    <row r="94" spans="2:56" x14ac:dyDescent="0.3">
      <c r="B94" s="61" t="s">
        <v>165</v>
      </c>
      <c r="C94" t="s">
        <v>119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s="62">
        <v>0</v>
      </c>
    </row>
    <row r="95" spans="2:56" x14ac:dyDescent="0.3">
      <c r="B95" s="61" t="s">
        <v>166</v>
      </c>
      <c r="C95" t="s">
        <v>119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44798.32</v>
      </c>
      <c r="BA95">
        <v>44798.320000000102</v>
      </c>
      <c r="BB95">
        <v>44798.320000000102</v>
      </c>
      <c r="BC95">
        <v>255.91040300000199</v>
      </c>
      <c r="BD95" s="62">
        <v>255.91040300000199</v>
      </c>
    </row>
    <row r="96" spans="2:56" x14ac:dyDescent="0.3">
      <c r="B96" s="61" t="s">
        <v>167</v>
      </c>
      <c r="C96" t="s">
        <v>119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61261.751624500197</v>
      </c>
      <c r="BD96" s="62">
        <v>61261.751624500197</v>
      </c>
    </row>
    <row r="97" spans="2:56" x14ac:dyDescent="0.3">
      <c r="B97" s="61" t="s">
        <v>120</v>
      </c>
      <c r="BD97" s="62"/>
    </row>
    <row r="98" spans="2:56" x14ac:dyDescent="0.3">
      <c r="B98" s="61" t="s">
        <v>131</v>
      </c>
      <c r="D98">
        <v>0</v>
      </c>
      <c r="E98">
        <v>1</v>
      </c>
      <c r="F98">
        <v>0.35439247084765702</v>
      </c>
      <c r="G98">
        <v>0.35439247084765702</v>
      </c>
      <c r="H98">
        <v>0.35439247084765702</v>
      </c>
      <c r="I98">
        <v>0.35439247084765702</v>
      </c>
      <c r="J98">
        <v>0.393696989076527</v>
      </c>
      <c r="K98">
        <v>0.393696989076527</v>
      </c>
      <c r="L98">
        <v>0.393696989076527</v>
      </c>
      <c r="M98">
        <v>0.393696989076527</v>
      </c>
      <c r="N98">
        <v>0.393696989076527</v>
      </c>
      <c r="O98" s="44">
        <v>9.8136380852963394E-5</v>
      </c>
      <c r="P98">
        <v>0.39490135608750498</v>
      </c>
      <c r="Q98">
        <v>0.39490135608750399</v>
      </c>
      <c r="R98">
        <v>0.39490135608750399</v>
      </c>
      <c r="S98">
        <v>1.4735578557393099E-4</v>
      </c>
      <c r="T98">
        <v>0.39538188794692503</v>
      </c>
      <c r="U98">
        <v>0.39538188794692503</v>
      </c>
      <c r="V98">
        <v>1.7386974320536899E-4</v>
      </c>
      <c r="W98" s="44">
        <v>1.01421866310782E-11</v>
      </c>
      <c r="X98">
        <v>4.5623587251281102E-3</v>
      </c>
      <c r="Y98" s="44">
        <v>0.39991279299314397</v>
      </c>
      <c r="Z98" s="44">
        <v>0.39991279299314397</v>
      </c>
      <c r="AA98">
        <v>0.39991279299314397</v>
      </c>
      <c r="AB98">
        <v>1.27449601545819E-3</v>
      </c>
      <c r="AC98" s="44">
        <v>1.6135800821281801E-14</v>
      </c>
      <c r="AD98" s="44">
        <v>3.4903692454353103E-14</v>
      </c>
      <c r="AE98" s="44">
        <v>6.1796268501636201E-44</v>
      </c>
      <c r="AF98" s="44">
        <v>0.50076283783269604</v>
      </c>
      <c r="AG98" s="44">
        <v>0.50076283783269604</v>
      </c>
      <c r="AH98">
        <v>0.77181875328112604</v>
      </c>
      <c r="AI98">
        <v>0.77181875328112604</v>
      </c>
      <c r="AJ98">
        <v>0.77181875328112604</v>
      </c>
      <c r="AK98">
        <v>0.77181875328112604</v>
      </c>
      <c r="AL98">
        <v>0.77181875328112604</v>
      </c>
      <c r="AM98">
        <v>0.77181875328112604</v>
      </c>
      <c r="AN98">
        <v>0.77181875328112604</v>
      </c>
      <c r="AO98">
        <v>3.2071539628097802E-3</v>
      </c>
      <c r="AP98">
        <v>3.2071539628097802E-3</v>
      </c>
      <c r="AQ98">
        <v>3.2071539628097802E-3</v>
      </c>
      <c r="AR98">
        <v>3.2071539628097802E-3</v>
      </c>
      <c r="AS98">
        <v>3.2071539628097802E-3</v>
      </c>
      <c r="AT98">
        <v>3.2071539628097802E-3</v>
      </c>
      <c r="AU98">
        <v>3.2071539628097802E-3</v>
      </c>
      <c r="AV98">
        <v>3.6898593036474902E-3</v>
      </c>
      <c r="AW98">
        <v>3.6898593036474902E-3</v>
      </c>
      <c r="AX98">
        <v>3.6898593036474902E-3</v>
      </c>
      <c r="AY98">
        <v>0</v>
      </c>
      <c r="AZ98">
        <v>0</v>
      </c>
      <c r="BA98">
        <v>0</v>
      </c>
      <c r="BB98">
        <v>0</v>
      </c>
      <c r="BC98">
        <v>0</v>
      </c>
      <c r="BD98" s="62">
        <v>0</v>
      </c>
    </row>
    <row r="99" spans="2:56" x14ac:dyDescent="0.3">
      <c r="B99" s="61" t="s">
        <v>130</v>
      </c>
      <c r="D99">
        <v>1</v>
      </c>
      <c r="E99">
        <v>0</v>
      </c>
      <c r="F99">
        <v>0.63457910130075901</v>
      </c>
      <c r="G99">
        <v>0.63457910130075901</v>
      </c>
      <c r="H99">
        <v>0.63457910130075901</v>
      </c>
      <c r="I99">
        <v>0.63457910130075901</v>
      </c>
      <c r="J99">
        <v>0.44932707343199701</v>
      </c>
      <c r="K99">
        <v>0.44932707343199701</v>
      </c>
      <c r="L99">
        <v>0.44932707343199701</v>
      </c>
      <c r="M99">
        <v>0.44932707343199701</v>
      </c>
      <c r="N99">
        <v>0.44932707343199701</v>
      </c>
      <c r="O99">
        <v>7.5555114768419899E-4</v>
      </c>
      <c r="P99">
        <v>0.45070045530010999</v>
      </c>
      <c r="Q99">
        <v>0.45070045530010999</v>
      </c>
      <c r="R99">
        <v>0.45070045530010999</v>
      </c>
      <c r="S99">
        <v>1.4695985675294899E-3</v>
      </c>
      <c r="T99">
        <v>0.45124730153530801</v>
      </c>
      <c r="U99">
        <v>0.45124730153530801</v>
      </c>
      <c r="V99">
        <v>4.3167002083724397E-3</v>
      </c>
      <c r="W99" s="44">
        <v>1.05281647950863E-8</v>
      </c>
      <c r="X99">
        <v>0.113270362124625</v>
      </c>
      <c r="Y99" s="44">
        <v>0.45641840376850101</v>
      </c>
      <c r="Z99" s="44">
        <v>0.45641840376850101</v>
      </c>
      <c r="AA99">
        <v>0.45641840376850101</v>
      </c>
      <c r="AB99">
        <v>0.34413463195736899</v>
      </c>
      <c r="AC99" s="44">
        <v>5.25718743838689E-5</v>
      </c>
      <c r="AD99">
        <v>1.13719334761696E-4</v>
      </c>
      <c r="AE99" s="44">
        <v>2.5594963484721398E-18</v>
      </c>
      <c r="AF99" s="44">
        <v>0.48482466455116802</v>
      </c>
      <c r="AG99">
        <v>0.48482466455116802</v>
      </c>
      <c r="AH99">
        <v>0.228082825079788</v>
      </c>
      <c r="AI99">
        <v>0.228082825079788</v>
      </c>
      <c r="AJ99">
        <v>0.228082825079788</v>
      </c>
      <c r="AK99">
        <v>0.228082825079788</v>
      </c>
      <c r="AL99">
        <v>0.228082825079788</v>
      </c>
      <c r="AM99">
        <v>0.228082825079788</v>
      </c>
      <c r="AN99">
        <v>0.228082825079788</v>
      </c>
      <c r="AO99">
        <v>0.95610514112091205</v>
      </c>
      <c r="AP99">
        <v>0.95610514112091305</v>
      </c>
      <c r="AQ99">
        <v>0.95610514112091305</v>
      </c>
      <c r="AR99">
        <v>0.95610514112091305</v>
      </c>
      <c r="AS99">
        <v>0.95610514112091305</v>
      </c>
      <c r="AT99">
        <v>0.95610514112091205</v>
      </c>
      <c r="AU99">
        <v>0.95610514112091205</v>
      </c>
      <c r="AV99">
        <v>0.99622233249108405</v>
      </c>
      <c r="AW99">
        <v>0.99622233249108405</v>
      </c>
      <c r="AX99">
        <v>0.99622233249108405</v>
      </c>
      <c r="AY99">
        <v>0</v>
      </c>
      <c r="AZ99">
        <v>0</v>
      </c>
      <c r="BA99">
        <v>0</v>
      </c>
      <c r="BB99">
        <v>0</v>
      </c>
      <c r="BC99">
        <v>0</v>
      </c>
      <c r="BD99" s="62">
        <v>0</v>
      </c>
    </row>
    <row r="100" spans="2:56" x14ac:dyDescent="0.3">
      <c r="B100" s="61" t="s">
        <v>132</v>
      </c>
      <c r="D100">
        <v>0</v>
      </c>
      <c r="E100">
        <v>0</v>
      </c>
      <c r="F100">
        <v>1.12745749201473E-4</v>
      </c>
      <c r="G100">
        <v>1.12745749201473E-4</v>
      </c>
      <c r="H100">
        <v>1.12745749201473E-4</v>
      </c>
      <c r="I100">
        <v>1.12745749201473E-4</v>
      </c>
      <c r="J100">
        <v>3.7544114308550201E-3</v>
      </c>
      <c r="K100">
        <v>3.7544114308550201E-3</v>
      </c>
      <c r="L100">
        <v>3.7544114308550201E-3</v>
      </c>
      <c r="M100">
        <v>3.7544114308550201E-3</v>
      </c>
      <c r="N100">
        <v>3.7544114308550201E-3</v>
      </c>
      <c r="O100" s="44">
        <v>4.43285177148615E-5</v>
      </c>
      <c r="P100">
        <v>3.7658304187694102E-3</v>
      </c>
      <c r="Q100">
        <v>3.7658304187694102E-3</v>
      </c>
      <c r="R100">
        <v>3.7658304187694102E-3</v>
      </c>
      <c r="S100">
        <v>1.0431657266686E-4</v>
      </c>
      <c r="T100">
        <v>3.77028755930608E-3</v>
      </c>
      <c r="U100">
        <v>3.77028755930608E-3</v>
      </c>
      <c r="V100">
        <v>6.5939510738826799E-4</v>
      </c>
      <c r="W100" s="44">
        <v>2.8326365774223098E-7</v>
      </c>
      <c r="X100">
        <v>1.7295460900478499E-2</v>
      </c>
      <c r="Y100" s="44">
        <v>3.81349080332362E-3</v>
      </c>
      <c r="Z100">
        <v>3.81349080332362E-3</v>
      </c>
      <c r="AA100" s="44">
        <v>3.81349080332362E-3</v>
      </c>
      <c r="AB100" s="44">
        <v>1.8304832760935402E-2</v>
      </c>
      <c r="AC100" s="44">
        <v>2.7963595629392199E-2</v>
      </c>
      <c r="AD100" s="44">
        <v>4.6644173009586102E-16</v>
      </c>
      <c r="AE100" s="44">
        <v>5.2005454893308399E-2</v>
      </c>
      <c r="AF100" s="44">
        <v>1.4737919967046999E-4</v>
      </c>
      <c r="AG100" s="44">
        <v>1.4737919967046999E-4</v>
      </c>
      <c r="AH100" s="44">
        <v>1.9162309642100701E-7</v>
      </c>
      <c r="AI100" s="44">
        <v>1.9162309642100701E-7</v>
      </c>
      <c r="AJ100" s="44">
        <v>1.9162309642100701E-7</v>
      </c>
      <c r="AK100" s="44">
        <v>1.9162309642100701E-7</v>
      </c>
      <c r="AL100" s="44">
        <v>1.9162309642100701E-7</v>
      </c>
      <c r="AM100" s="44">
        <v>1.9162309642100701E-7</v>
      </c>
      <c r="AN100" s="44">
        <v>1.9162309642100701E-7</v>
      </c>
      <c r="AO100" s="44">
        <v>4.1755968432003702E-4</v>
      </c>
      <c r="AP100" s="44">
        <v>4.1755968432003702E-4</v>
      </c>
      <c r="AQ100" s="44">
        <v>4.1755968432003702E-4</v>
      </c>
      <c r="AR100">
        <v>4.1755968432003702E-4</v>
      </c>
      <c r="AS100">
        <v>4.1755968432003702E-4</v>
      </c>
      <c r="AT100">
        <v>4.1755968432003702E-4</v>
      </c>
      <c r="AU100">
        <v>4.1755968432003702E-4</v>
      </c>
      <c r="AV100" s="44">
        <v>1.19069408394074E-8</v>
      </c>
      <c r="AW100" s="44">
        <v>1.19069408394074E-8</v>
      </c>
      <c r="AX100" s="44">
        <v>1.19069408394074E-8</v>
      </c>
      <c r="AY100" s="44">
        <v>0</v>
      </c>
      <c r="AZ100" s="44">
        <v>0</v>
      </c>
      <c r="BA100" s="44">
        <v>0</v>
      </c>
      <c r="BB100" s="44">
        <v>0</v>
      </c>
      <c r="BC100">
        <v>0</v>
      </c>
      <c r="BD100" s="62">
        <v>0</v>
      </c>
    </row>
    <row r="101" spans="2:56" x14ac:dyDescent="0.3">
      <c r="B101" s="61" t="s">
        <v>133</v>
      </c>
      <c r="D101">
        <v>0</v>
      </c>
      <c r="E101">
        <v>0</v>
      </c>
      <c r="F101">
        <v>9.2294306659249491E-3</v>
      </c>
      <c r="G101">
        <v>9.2294306659249491E-3</v>
      </c>
      <c r="H101">
        <v>9.2294306659249491E-3</v>
      </c>
      <c r="I101">
        <v>9.2294306659249491E-3</v>
      </c>
      <c r="J101">
        <v>6.9621724488524994E-2</v>
      </c>
      <c r="K101">
        <v>6.9621724488524994E-2</v>
      </c>
      <c r="L101">
        <v>6.9621724488524994E-2</v>
      </c>
      <c r="M101">
        <v>6.9621724488524994E-2</v>
      </c>
      <c r="N101">
        <v>6.9621724488524994E-2</v>
      </c>
      <c r="O101">
        <v>5.5116220660955196E-4</v>
      </c>
      <c r="P101">
        <v>6.9833357183269107E-2</v>
      </c>
      <c r="Q101">
        <v>6.9833357183269107E-2</v>
      </c>
      <c r="R101">
        <v>6.9833357183269107E-2</v>
      </c>
      <c r="S101">
        <v>1.25383392511399E-3</v>
      </c>
      <c r="T101">
        <v>6.9916838657311603E-2</v>
      </c>
      <c r="U101">
        <v>6.9916838657311603E-2</v>
      </c>
      <c r="V101">
        <v>6.7580036006224904E-3</v>
      </c>
      <c r="W101" s="44">
        <v>9.2115378851081798E-7</v>
      </c>
      <c r="X101">
        <v>0.17730871788735</v>
      </c>
      <c r="Y101" s="44">
        <v>7.0718051701547199E-2</v>
      </c>
      <c r="Z101">
        <v>7.0718051701547199E-2</v>
      </c>
      <c r="AA101" s="44">
        <v>7.0718051701547199E-2</v>
      </c>
      <c r="AB101" s="44">
        <v>0.30257680770858703</v>
      </c>
      <c r="AC101" s="44">
        <v>0.46218908563621902</v>
      </c>
      <c r="AD101" s="44">
        <v>0.99877124100691195</v>
      </c>
      <c r="AE101" s="44">
        <v>8.59547263417574E-4</v>
      </c>
      <c r="AF101" s="44">
        <v>1.2060952980644499E-2</v>
      </c>
      <c r="AG101">
        <v>1.2060952980644499E-2</v>
      </c>
      <c r="AH101" s="44">
        <v>9.6312609701323902E-5</v>
      </c>
      <c r="AI101" s="44">
        <v>9.6312609701323902E-5</v>
      </c>
      <c r="AJ101" s="44">
        <v>9.6312609701323902E-5</v>
      </c>
      <c r="AK101" s="44">
        <v>9.6312609701323902E-5</v>
      </c>
      <c r="AL101" s="44">
        <v>9.6312609701323902E-5</v>
      </c>
      <c r="AM101" s="44">
        <v>9.6312609701323902E-5</v>
      </c>
      <c r="AN101" s="44">
        <v>9.6312609701323902E-5</v>
      </c>
      <c r="AO101" s="44">
        <v>3.4023488883278601E-2</v>
      </c>
      <c r="AP101" s="44">
        <v>3.4023488883278601E-2</v>
      </c>
      <c r="AQ101" s="44">
        <v>3.4023488883278601E-2</v>
      </c>
      <c r="AR101">
        <v>3.4023488883278601E-2</v>
      </c>
      <c r="AS101">
        <v>3.4023488883278601E-2</v>
      </c>
      <c r="AT101">
        <v>3.4023488883278601E-2</v>
      </c>
      <c r="AU101">
        <v>3.4023488883278601E-2</v>
      </c>
      <c r="AV101" s="44">
        <v>8.7328118526053096E-5</v>
      </c>
      <c r="AW101" s="44">
        <v>8.7328118526053096E-5</v>
      </c>
      <c r="AX101" s="44">
        <v>8.7328118526053096E-5</v>
      </c>
      <c r="AY101">
        <v>0</v>
      </c>
      <c r="AZ101">
        <v>0</v>
      </c>
      <c r="BA101">
        <v>0</v>
      </c>
      <c r="BB101">
        <v>0</v>
      </c>
      <c r="BC101">
        <v>0</v>
      </c>
      <c r="BD101" s="62">
        <v>0</v>
      </c>
    </row>
    <row r="102" spans="2:56" x14ac:dyDescent="0.3">
      <c r="B102" s="61" t="s">
        <v>134</v>
      </c>
      <c r="D102">
        <v>0</v>
      </c>
      <c r="E102">
        <v>0</v>
      </c>
      <c r="F102">
        <v>1.68625140912488E-3</v>
      </c>
      <c r="G102">
        <v>1.68625140912488E-3</v>
      </c>
      <c r="H102">
        <v>1.68625140912488E-3</v>
      </c>
      <c r="I102">
        <v>1.68625140912488E-3</v>
      </c>
      <c r="J102">
        <v>6.7525956375856497E-2</v>
      </c>
      <c r="K102">
        <v>6.7525956375856497E-2</v>
      </c>
      <c r="L102">
        <v>6.7525956375856497E-2</v>
      </c>
      <c r="M102">
        <v>6.7525956375856497E-2</v>
      </c>
      <c r="N102">
        <v>6.7525956375856497E-2</v>
      </c>
      <c r="O102">
        <v>8.9443480761498796E-4</v>
      </c>
      <c r="P102">
        <v>6.7731502946318398E-2</v>
      </c>
      <c r="Q102">
        <v>6.7731502946318398E-2</v>
      </c>
      <c r="R102">
        <v>6.7731502946318398E-2</v>
      </c>
      <c r="S102">
        <v>2.3429105546934701E-3</v>
      </c>
      <c r="T102">
        <v>6.7811100117880302E-2</v>
      </c>
      <c r="U102">
        <v>6.7811100117880302E-2</v>
      </c>
      <c r="V102">
        <v>2.6117664841625001E-2</v>
      </c>
      <c r="W102" s="44">
        <v>1.0562958337905401E-5</v>
      </c>
      <c r="X102">
        <v>0.685063508309535</v>
      </c>
      <c r="Y102" s="44">
        <v>6.8588089518777706E-2</v>
      </c>
      <c r="Z102">
        <v>6.8588089518777706E-2</v>
      </c>
      <c r="AA102" s="44">
        <v>6.8588089518777706E-2</v>
      </c>
      <c r="AB102" s="44">
        <v>0.33098930609205302</v>
      </c>
      <c r="AC102" s="44">
        <v>0.50563961941663704</v>
      </c>
      <c r="AD102" s="44">
        <v>1.1150396582906099E-3</v>
      </c>
      <c r="AE102" s="44">
        <v>0.93940747611484399</v>
      </c>
      <c r="AF102" s="44">
        <v>2.20416540009456E-3</v>
      </c>
      <c r="AG102">
        <v>2.20416540009456E-3</v>
      </c>
      <c r="AH102" s="44">
        <v>1.9174062878948099E-6</v>
      </c>
      <c r="AI102" s="44">
        <v>1.9174062878948099E-6</v>
      </c>
      <c r="AJ102" s="44">
        <v>1.9174062878948099E-6</v>
      </c>
      <c r="AK102" s="44">
        <v>1.9174062878948099E-6</v>
      </c>
      <c r="AL102" s="44">
        <v>1.9174062878948099E-6</v>
      </c>
      <c r="AM102" s="44">
        <v>1.9174062878948099E-6</v>
      </c>
      <c r="AN102" s="44">
        <v>1.9174062878948099E-6</v>
      </c>
      <c r="AO102" s="44">
        <v>6.2466562473717999E-3</v>
      </c>
      <c r="AP102" s="44">
        <v>6.2466562473717999E-3</v>
      </c>
      <c r="AQ102" s="44">
        <v>6.2466562473717999E-3</v>
      </c>
      <c r="AR102">
        <v>6.2466562473717999E-3</v>
      </c>
      <c r="AS102">
        <v>6.2466562473717999E-3</v>
      </c>
      <c r="AT102">
        <v>6.2466562473717999E-3</v>
      </c>
      <c r="AU102">
        <v>6.2466562473717999E-3</v>
      </c>
      <c r="AV102" s="44">
        <v>4.6817980170133298E-7</v>
      </c>
      <c r="AW102" s="44">
        <v>4.6817980170133398E-7</v>
      </c>
      <c r="AX102" s="44">
        <v>4.6817980170133298E-7</v>
      </c>
      <c r="AY102" s="44">
        <v>0</v>
      </c>
      <c r="AZ102" s="44">
        <v>0</v>
      </c>
      <c r="BA102" s="44">
        <v>0</v>
      </c>
      <c r="BB102" s="44">
        <v>0</v>
      </c>
      <c r="BC102">
        <v>0</v>
      </c>
      <c r="BD102" s="62">
        <v>0</v>
      </c>
    </row>
    <row r="103" spans="2:56" x14ac:dyDescent="0.3">
      <c r="B103" s="61" t="s">
        <v>164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s="62">
        <v>0</v>
      </c>
    </row>
    <row r="104" spans="2:56" x14ac:dyDescent="0.3">
      <c r="B104" s="61" t="s">
        <v>135</v>
      </c>
      <c r="D104">
        <v>0</v>
      </c>
      <c r="E104">
        <v>0</v>
      </c>
      <c r="F104" s="44">
        <v>2.73326283684211E-11</v>
      </c>
      <c r="G104" s="44">
        <v>2.73326283684211E-11</v>
      </c>
      <c r="H104" s="44">
        <v>2.73326283684211E-11</v>
      </c>
      <c r="I104" s="44">
        <v>2.73326283684211E-11</v>
      </c>
      <c r="J104">
        <v>1.1885595291752199E-2</v>
      </c>
      <c r="K104">
        <v>1.1885595291752199E-2</v>
      </c>
      <c r="L104">
        <v>1.1885595291752199E-2</v>
      </c>
      <c r="M104">
        <v>1.1885595291752199E-2</v>
      </c>
      <c r="N104">
        <v>1.1885595291752199E-2</v>
      </c>
      <c r="O104">
        <v>4.0758554607658898E-2</v>
      </c>
      <c r="P104">
        <v>1.19718406156052E-2</v>
      </c>
      <c r="Q104">
        <v>1.19718406156052E-2</v>
      </c>
      <c r="R104">
        <v>1.19718406156052E-2</v>
      </c>
      <c r="S104">
        <v>0.18432426380758099</v>
      </c>
      <c r="T104">
        <v>1.17620369649047E-2</v>
      </c>
      <c r="U104">
        <v>1.17620369649047E-2</v>
      </c>
      <c r="V104">
        <v>0.95258905589332299</v>
      </c>
      <c r="W104">
        <v>0.99023107070972705</v>
      </c>
      <c r="X104">
        <v>2.4995920305003199E-3</v>
      </c>
      <c r="Y104">
        <v>5.4917025139596901E-4</v>
      </c>
      <c r="Z104">
        <v>5.4917025139596901E-4</v>
      </c>
      <c r="AA104" s="44">
        <v>5.4917025139596901E-4</v>
      </c>
      <c r="AB104" s="44">
        <v>2.7199206945272801E-3</v>
      </c>
      <c r="AC104" s="44">
        <v>4.1551201547675304E-3</v>
      </c>
      <c r="AD104" s="44">
        <v>6.7466750901480404E-242</v>
      </c>
      <c r="AE104" s="44">
        <v>7.7275081734450501E-3</v>
      </c>
      <c r="AF104" s="44">
        <v>3.5726690036027197E-11</v>
      </c>
      <c r="AG104" s="44">
        <v>3.5726690036027197E-11</v>
      </c>
      <c r="AH104" s="44">
        <v>1.1877038880616101E-20</v>
      </c>
      <c r="AI104" s="44">
        <v>1.1877038880616101E-20</v>
      </c>
      <c r="AJ104" s="44">
        <v>1.1877038880616101E-20</v>
      </c>
      <c r="AK104" s="44">
        <v>1.1877038880616101E-20</v>
      </c>
      <c r="AL104" s="44">
        <v>1.1877038880616101E-20</v>
      </c>
      <c r="AM104" s="44">
        <v>1.1877038880616101E-20</v>
      </c>
      <c r="AN104" s="44">
        <v>1.1877038880616101E-20</v>
      </c>
      <c r="AO104" s="44">
        <v>1.01307323081241E-10</v>
      </c>
      <c r="AP104" s="44">
        <v>1.01307323081241E-10</v>
      </c>
      <c r="AQ104" s="44">
        <v>1.01307323081241E-10</v>
      </c>
      <c r="AR104" s="44">
        <v>1.01307323081241E-10</v>
      </c>
      <c r="AS104" s="44">
        <v>1.01307323081241E-10</v>
      </c>
      <c r="AT104" s="44">
        <v>1.01307323081241E-10</v>
      </c>
      <c r="AU104" s="44">
        <v>1.01307323081241E-10</v>
      </c>
      <c r="AV104" s="44">
        <v>2.84000006972929E-29</v>
      </c>
      <c r="AW104" s="44">
        <v>2.84000006972929E-29</v>
      </c>
      <c r="AX104" s="44">
        <v>2.84000006972929E-29</v>
      </c>
      <c r="AY104" s="44">
        <v>0</v>
      </c>
      <c r="AZ104" s="44">
        <v>0</v>
      </c>
      <c r="BA104" s="44">
        <v>0</v>
      </c>
      <c r="BB104" s="44">
        <v>0</v>
      </c>
      <c r="BC104">
        <v>0</v>
      </c>
      <c r="BD104" s="62">
        <v>0</v>
      </c>
    </row>
    <row r="105" spans="2:56" x14ac:dyDescent="0.3">
      <c r="B105" s="61" t="s">
        <v>136</v>
      </c>
      <c r="D105">
        <v>0</v>
      </c>
      <c r="E105">
        <v>0</v>
      </c>
      <c r="F105" s="44">
        <v>2.25718129654538E-60</v>
      </c>
      <c r="G105" s="44">
        <v>2.25718129654538E-60</v>
      </c>
      <c r="H105" s="44">
        <v>2.25718129654538E-60</v>
      </c>
      <c r="I105" s="44">
        <v>2.25718129654538E-60</v>
      </c>
      <c r="J105">
        <v>4.1882499044877302E-3</v>
      </c>
      <c r="K105">
        <v>4.1882499044877302E-3</v>
      </c>
      <c r="L105">
        <v>4.1882499044877302E-3</v>
      </c>
      <c r="M105">
        <v>4.1882499044877302E-3</v>
      </c>
      <c r="N105">
        <v>4.1882499044877302E-3</v>
      </c>
      <c r="O105">
        <v>0.95689783233186498</v>
      </c>
      <c r="P105">
        <v>1.09565744842302E-3</v>
      </c>
      <c r="Q105">
        <v>1.09565744842302E-3</v>
      </c>
      <c r="R105">
        <v>1.09565744842302E-3</v>
      </c>
      <c r="S105">
        <v>0.81035772078684098</v>
      </c>
      <c r="T105">
        <v>1.10547218364334E-4</v>
      </c>
      <c r="U105">
        <v>1.10547218364334E-4</v>
      </c>
      <c r="V105">
        <v>9.3853106054637894E-3</v>
      </c>
      <c r="W105" s="44">
        <v>9.7571513761818898E-3</v>
      </c>
      <c r="X105" s="44">
        <v>2.2383451719089099E-11</v>
      </c>
      <c r="Y105" s="44">
        <v>9.6331107330936896E-10</v>
      </c>
      <c r="Z105" s="44">
        <v>9.6331107330936896E-10</v>
      </c>
      <c r="AA105" s="44">
        <v>9.6331107330936896E-10</v>
      </c>
      <c r="AB105" s="44">
        <v>4.7710702699932799E-9</v>
      </c>
      <c r="AC105" s="44">
        <v>7.2885839203141501E-9</v>
      </c>
      <c r="AD105" s="44">
        <v>0</v>
      </c>
      <c r="AE105" s="44">
        <v>1.3554985107336601E-8</v>
      </c>
      <c r="AF105" s="44">
        <v>1.29754131484439E-23</v>
      </c>
      <c r="AG105" s="44">
        <v>1.29754131484439E-23</v>
      </c>
      <c r="AH105" s="44">
        <v>0</v>
      </c>
      <c r="AI105" s="44">
        <v>0</v>
      </c>
      <c r="AJ105">
        <v>0</v>
      </c>
      <c r="AK105">
        <v>0</v>
      </c>
      <c r="AL105">
        <v>0</v>
      </c>
      <c r="AM105" s="44">
        <v>0</v>
      </c>
      <c r="AN105" s="44">
        <v>0</v>
      </c>
      <c r="AO105" s="44">
        <v>0</v>
      </c>
      <c r="AP105" s="44">
        <v>0</v>
      </c>
      <c r="AQ105" s="44">
        <v>0</v>
      </c>
      <c r="AR105">
        <v>0</v>
      </c>
      <c r="AS105">
        <v>0</v>
      </c>
      <c r="AT105">
        <v>0</v>
      </c>
      <c r="AU105">
        <v>0</v>
      </c>
      <c r="AV105" s="44">
        <v>3.3763858869972798E-59</v>
      </c>
      <c r="AW105" s="44">
        <v>3.3763858869972798E-59</v>
      </c>
      <c r="AX105" s="44">
        <v>3.3763858869972798E-59</v>
      </c>
      <c r="AY105">
        <v>0</v>
      </c>
      <c r="AZ105">
        <v>0</v>
      </c>
      <c r="BA105">
        <v>0</v>
      </c>
      <c r="BB105">
        <v>0</v>
      </c>
      <c r="BC105">
        <v>0</v>
      </c>
      <c r="BD105" s="62">
        <v>0</v>
      </c>
    </row>
    <row r="106" spans="2:56" x14ac:dyDescent="0.3">
      <c r="B106" s="61" t="s">
        <v>91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0.27178116782178802</v>
      </c>
      <c r="BB106">
        <v>0.27178116782178802</v>
      </c>
      <c r="BC106">
        <v>0</v>
      </c>
      <c r="BD106" s="62">
        <v>0</v>
      </c>
    </row>
    <row r="107" spans="2:56" x14ac:dyDescent="0.3">
      <c r="B107" s="61" t="s">
        <v>165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62">
        <v>0</v>
      </c>
    </row>
    <row r="108" spans="2:56" x14ac:dyDescent="0.3">
      <c r="B108" s="61" t="s">
        <v>166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0.72821883217821204</v>
      </c>
      <c r="BB108">
        <v>0.72821883217821204</v>
      </c>
      <c r="BC108">
        <v>4.1599500788180501E-3</v>
      </c>
      <c r="BD108" s="62">
        <v>4.1599500788180501E-3</v>
      </c>
    </row>
    <row r="109" spans="2:56" x14ac:dyDescent="0.3">
      <c r="B109" s="61" t="s">
        <v>167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0.99584004992118202</v>
      </c>
      <c r="BD109" s="62">
        <v>0.99584004992118202</v>
      </c>
    </row>
    <row r="110" spans="2:56" ht="17.25" thickBot="1" x14ac:dyDescent="0.35">
      <c r="B110" s="74" t="s">
        <v>121</v>
      </c>
      <c r="C110" s="75" t="s">
        <v>122</v>
      </c>
      <c r="D110" s="75">
        <v>327437.64971695602</v>
      </c>
      <c r="E110" s="75">
        <v>1.13867829799002E-3</v>
      </c>
      <c r="F110" s="75">
        <v>4783962.9755431795</v>
      </c>
      <c r="G110" s="75">
        <v>17015263.5526856</v>
      </c>
      <c r="H110" s="75">
        <v>18333969.528035399</v>
      </c>
      <c r="I110" s="75">
        <v>27389526.075531099</v>
      </c>
      <c r="J110" s="75">
        <v>28557235.373459201</v>
      </c>
      <c r="K110" s="75">
        <v>17930771.242311001</v>
      </c>
      <c r="L110" s="75">
        <v>5834095.5172089897</v>
      </c>
      <c r="M110" s="75">
        <v>700678.92332633701</v>
      </c>
      <c r="N110" s="75">
        <v>292520.72655789502</v>
      </c>
      <c r="O110" s="75">
        <v>4.4462477291806</v>
      </c>
      <c r="P110" s="75">
        <v>292494.33726547199</v>
      </c>
      <c r="Q110" s="75">
        <v>222951.103289864</v>
      </c>
      <c r="R110" s="75">
        <v>178929.47625127499</v>
      </c>
      <c r="S110" s="75">
        <v>1.26613521630245</v>
      </c>
      <c r="T110" s="75">
        <v>178928.210116059</v>
      </c>
      <c r="U110" s="75">
        <v>135723.821081248</v>
      </c>
      <c r="V110" s="75">
        <v>12.656143425010701</v>
      </c>
      <c r="W110" s="75">
        <v>21.7610625336041</v>
      </c>
      <c r="X110" s="75">
        <v>10.780547845516001</v>
      </c>
      <c r="Y110" s="75">
        <v>135720.65452636301</v>
      </c>
      <c r="Z110" s="75">
        <v>123493.13361555801</v>
      </c>
      <c r="AA110" s="75">
        <v>58319.025876972999</v>
      </c>
      <c r="AB110" s="75">
        <v>342.95580326398101</v>
      </c>
      <c r="AC110" s="75">
        <v>245.701898628896</v>
      </c>
      <c r="AD110" s="75">
        <v>98.383621473182401</v>
      </c>
      <c r="AE110" s="75">
        <v>109.683432849323</v>
      </c>
      <c r="AF110" s="75">
        <v>78763.777175005496</v>
      </c>
      <c r="AG110" s="75">
        <v>69598.838081807204</v>
      </c>
      <c r="AH110" s="75">
        <v>57548.545904506602</v>
      </c>
      <c r="AI110" s="75">
        <v>63769.287091821803</v>
      </c>
      <c r="AJ110" s="75">
        <v>63769.287091821803</v>
      </c>
      <c r="AK110" s="75">
        <v>109829.486158796</v>
      </c>
      <c r="AL110" s="75">
        <v>154924.559307674</v>
      </c>
      <c r="AM110" s="75">
        <v>141742.67989237499</v>
      </c>
      <c r="AN110" s="75">
        <v>13181.879415298899</v>
      </c>
      <c r="AO110" s="75">
        <v>578.17093972686098</v>
      </c>
      <c r="AP110" s="75">
        <v>8020.0066248879402</v>
      </c>
      <c r="AQ110" s="75">
        <v>58051.0243767668</v>
      </c>
      <c r="AR110" s="75">
        <v>213144.86176160601</v>
      </c>
      <c r="AS110" s="75">
        <v>252842.639909119</v>
      </c>
      <c r="AT110" s="75">
        <v>250314.213510028</v>
      </c>
      <c r="AU110" s="75">
        <v>2528.42639909119</v>
      </c>
      <c r="AV110" s="75">
        <v>6951.1663315696997</v>
      </c>
      <c r="AW110" s="75">
        <v>6881.6546682540102</v>
      </c>
      <c r="AX110" s="75">
        <v>69.511663315697007</v>
      </c>
      <c r="AY110" s="75">
        <v>28.5550454362414</v>
      </c>
      <c r="AZ110" s="75">
        <v>3502.90289429615</v>
      </c>
      <c r="BA110" s="75">
        <v>132156.887269628</v>
      </c>
      <c r="BB110" s="75">
        <v>35411.307271500402</v>
      </c>
      <c r="BC110" s="75">
        <v>917587.64694124705</v>
      </c>
      <c r="BD110" s="76">
        <v>116788.17724538399</v>
      </c>
    </row>
    <row r="115" spans="2:14" ht="17.25" thickBot="1" x14ac:dyDescent="0.35"/>
    <row r="116" spans="2:14" ht="21" thickBot="1" x14ac:dyDescent="0.35">
      <c r="B116" s="572" t="s">
        <v>623</v>
      </c>
      <c r="C116" s="573"/>
      <c r="D116" s="573"/>
      <c r="E116" s="573"/>
      <c r="F116" s="573"/>
      <c r="G116" s="573"/>
      <c r="H116" s="573"/>
      <c r="I116" s="573"/>
      <c r="J116" s="573"/>
      <c r="K116" s="573"/>
      <c r="L116" s="573"/>
      <c r="M116" s="573"/>
      <c r="N116" s="574"/>
    </row>
    <row r="117" spans="2:14" ht="17.25" thickBot="1" x14ac:dyDescent="0.35">
      <c r="B117" s="101"/>
      <c r="C117" s="102"/>
      <c r="D117" s="103" t="s">
        <v>137</v>
      </c>
      <c r="E117" s="103" t="s">
        <v>567</v>
      </c>
      <c r="F117" s="103" t="s">
        <v>563</v>
      </c>
      <c r="G117" s="103" t="s">
        <v>564</v>
      </c>
      <c r="H117" s="103" t="s">
        <v>572</v>
      </c>
      <c r="I117" s="103" t="s">
        <v>571</v>
      </c>
      <c r="J117" s="103" t="s">
        <v>562</v>
      </c>
      <c r="K117" s="103" t="s">
        <v>573</v>
      </c>
      <c r="L117" s="103" t="s">
        <v>574</v>
      </c>
      <c r="M117" s="103" t="s">
        <v>568</v>
      </c>
      <c r="N117" s="104" t="s">
        <v>566</v>
      </c>
    </row>
    <row r="118" spans="2:14" x14ac:dyDescent="0.3">
      <c r="B118" s="65" t="str">
        <f t="shared" ref="B118:D137" si="0">B58</f>
        <v>Mole Flows</v>
      </c>
      <c r="C118" s="52" t="str">
        <f t="shared" si="0"/>
        <v>kmol/hr</v>
      </c>
      <c r="D118" s="53">
        <f t="shared" si="0"/>
        <v>13186.8</v>
      </c>
      <c r="E118" s="53">
        <f t="shared" ref="E118:E149" si="1">AZ58</f>
        <v>1400</v>
      </c>
      <c r="F118" s="53">
        <f t="shared" ref="F118:F149" si="2">I58</f>
        <v>221973.907566304</v>
      </c>
      <c r="G118" s="53">
        <f t="shared" ref="G118:G149" si="3">J58</f>
        <v>231437.848405678</v>
      </c>
      <c r="H118" s="53">
        <f t="shared" ref="H118:H149" si="4">AD58</f>
        <v>2170.0514827860102</v>
      </c>
      <c r="I118" s="53">
        <f t="shared" ref="I118:I149" si="5">AE58</f>
        <v>2685.84536912353</v>
      </c>
      <c r="J118" s="53">
        <f t="shared" ref="J118:J130" si="6">O58</f>
        <v>35.101908813737197</v>
      </c>
      <c r="K118" s="53">
        <f t="shared" ref="K118:K149" si="7">W58</f>
        <v>145.592421889571</v>
      </c>
      <c r="L118" s="53">
        <f t="shared" ref="L118:L149" si="8">AN58</f>
        <v>17390.5950942979</v>
      </c>
      <c r="M118" s="53">
        <f t="shared" ref="M118:M149" si="9">BD58</f>
        <v>1400</v>
      </c>
      <c r="N118" s="66">
        <f t="shared" ref="N118:N149" si="10">AY58</f>
        <v>1392.0025000000001</v>
      </c>
    </row>
    <row r="119" spans="2:14" x14ac:dyDescent="0.3">
      <c r="B119" s="67" t="str">
        <f t="shared" si="0"/>
        <v>H2</v>
      </c>
      <c r="C119" s="50" t="str">
        <f t="shared" si="0"/>
        <v>kmol/hr</v>
      </c>
      <c r="D119" s="54">
        <f t="shared" si="0"/>
        <v>0</v>
      </c>
      <c r="E119" s="54">
        <f t="shared" si="1"/>
        <v>0</v>
      </c>
      <c r="F119" s="54">
        <f t="shared" si="2"/>
        <v>180869.01015529799</v>
      </c>
      <c r="G119" s="54">
        <f t="shared" si="3"/>
        <v>197643.83689999999</v>
      </c>
      <c r="H119" s="54">
        <f t="shared" si="4"/>
        <v>1.0538853091876501E-9</v>
      </c>
      <c r="I119" s="54">
        <f t="shared" si="5"/>
        <v>2.1702471351603201E-39</v>
      </c>
      <c r="J119" s="54">
        <f t="shared" si="6"/>
        <v>0.20996271436505401</v>
      </c>
      <c r="K119" s="54">
        <f t="shared" si="7"/>
        <v>5.7435524468904502E-8</v>
      </c>
      <c r="L119" s="54">
        <f t="shared" si="8"/>
        <v>16767.7985447221</v>
      </c>
      <c r="M119" s="54">
        <f t="shared" si="9"/>
        <v>0</v>
      </c>
      <c r="N119" s="68">
        <f t="shared" si="10"/>
        <v>0</v>
      </c>
    </row>
    <row r="120" spans="2:14" x14ac:dyDescent="0.3">
      <c r="B120" s="67" t="str">
        <f t="shared" si="0"/>
        <v>CH4</v>
      </c>
      <c r="C120" s="50" t="str">
        <f t="shared" si="0"/>
        <v>kmol/hr</v>
      </c>
      <c r="D120" s="54">
        <f t="shared" si="0"/>
        <v>13186.8</v>
      </c>
      <c r="E120" s="54">
        <f t="shared" si="1"/>
        <v>0</v>
      </c>
      <c r="F120" s="54">
        <f t="shared" si="2"/>
        <v>40695.934923918801</v>
      </c>
      <c r="G120" s="54">
        <f t="shared" si="3"/>
        <v>28344.536499999998</v>
      </c>
      <c r="H120" s="54">
        <f t="shared" si="4"/>
        <v>0.43146132957623401</v>
      </c>
      <c r="I120" s="54">
        <f t="shared" si="5"/>
        <v>1.1295021034885001E-14</v>
      </c>
      <c r="J120" s="54">
        <f t="shared" si="6"/>
        <v>0.20312416833990601</v>
      </c>
      <c r="K120" s="54">
        <f t="shared" si="7"/>
        <v>7.4918186669103899E-6</v>
      </c>
      <c r="L120" s="54">
        <f t="shared" si="8"/>
        <v>622.64269059413596</v>
      </c>
      <c r="M120" s="54">
        <f t="shared" si="9"/>
        <v>0</v>
      </c>
      <c r="N120" s="68">
        <f t="shared" si="10"/>
        <v>0</v>
      </c>
    </row>
    <row r="121" spans="2:14" x14ac:dyDescent="0.3">
      <c r="B121" s="67" t="str">
        <f t="shared" si="0"/>
        <v>C2H6</v>
      </c>
      <c r="C121" s="50" t="str">
        <f t="shared" si="0"/>
        <v>kmol/hr</v>
      </c>
      <c r="D121" s="54">
        <f t="shared" si="0"/>
        <v>0</v>
      </c>
      <c r="E121" s="54">
        <f t="shared" si="1"/>
        <v>0</v>
      </c>
      <c r="F121" s="54">
        <f t="shared" si="2"/>
        <v>3.8575920635591001</v>
      </c>
      <c r="G121" s="54">
        <f t="shared" si="3"/>
        <v>126.35705460440199</v>
      </c>
      <c r="H121" s="54">
        <f t="shared" si="4"/>
        <v>9.4418222958600604E-13</v>
      </c>
      <c r="I121" s="54">
        <f t="shared" si="5"/>
        <v>122.442527845618</v>
      </c>
      <c r="J121" s="54">
        <f t="shared" si="6"/>
        <v>6.3581650537586102E-3</v>
      </c>
      <c r="K121" s="54">
        <f t="shared" si="7"/>
        <v>1.0754155194E-4</v>
      </c>
      <c r="L121" s="54">
        <f t="shared" si="8"/>
        <v>2.7909047960067201E-4</v>
      </c>
      <c r="M121" s="54">
        <f t="shared" si="9"/>
        <v>0</v>
      </c>
      <c r="N121" s="68">
        <f t="shared" si="10"/>
        <v>0</v>
      </c>
    </row>
    <row r="122" spans="2:14" x14ac:dyDescent="0.3">
      <c r="B122" s="67" t="str">
        <f t="shared" si="0"/>
        <v>C2H4</v>
      </c>
      <c r="C122" s="50" t="str">
        <f t="shared" si="0"/>
        <v>kmol/hr</v>
      </c>
      <c r="D122" s="54">
        <f t="shared" si="0"/>
        <v>0</v>
      </c>
      <c r="E122" s="54">
        <f t="shared" si="1"/>
        <v>0</v>
      </c>
      <c r="F122" s="54">
        <f t="shared" si="2"/>
        <v>338.47623823234301</v>
      </c>
      <c r="G122" s="54">
        <f t="shared" si="3"/>
        <v>2511.5368700736799</v>
      </c>
      <c r="H122" s="54">
        <f t="shared" si="4"/>
        <v>2167.01343972831</v>
      </c>
      <c r="I122" s="54">
        <f t="shared" si="5"/>
        <v>2.1691535750314399</v>
      </c>
      <c r="J122" s="54">
        <f t="shared" si="6"/>
        <v>8.4735455812960297E-2</v>
      </c>
      <c r="K122" s="54">
        <f t="shared" si="7"/>
        <v>3.7484760009025601E-4</v>
      </c>
      <c r="L122" s="54">
        <f t="shared" si="8"/>
        <v>0.15035485996443201</v>
      </c>
      <c r="M122" s="54">
        <f t="shared" si="9"/>
        <v>0</v>
      </c>
      <c r="N122" s="68">
        <f t="shared" si="10"/>
        <v>0</v>
      </c>
    </row>
    <row r="123" spans="2:14" x14ac:dyDescent="0.3">
      <c r="B123" s="67" t="str">
        <f t="shared" si="0"/>
        <v>C2H2</v>
      </c>
      <c r="C123" s="50" t="str">
        <f t="shared" si="0"/>
        <v>kmol/hr</v>
      </c>
      <c r="D123" s="54">
        <f t="shared" si="0"/>
        <v>0</v>
      </c>
      <c r="E123" s="54">
        <f t="shared" si="1"/>
        <v>0</v>
      </c>
      <c r="F123" s="54">
        <f t="shared" si="2"/>
        <v>66.628656430606696</v>
      </c>
      <c r="G123" s="54">
        <f t="shared" si="3"/>
        <v>2624.5266182754599</v>
      </c>
      <c r="H123" s="54">
        <f t="shared" si="4"/>
        <v>2.6065817270757701</v>
      </c>
      <c r="I123" s="54">
        <f t="shared" si="5"/>
        <v>2554.2300337809502</v>
      </c>
      <c r="J123" s="54">
        <f t="shared" si="6"/>
        <v>0.14815621953198799</v>
      </c>
      <c r="K123" s="54">
        <f t="shared" si="7"/>
        <v>4.6312008372290303E-3</v>
      </c>
      <c r="L123" s="54">
        <f t="shared" si="8"/>
        <v>3.2250312196558102E-3</v>
      </c>
      <c r="M123" s="54">
        <f t="shared" si="9"/>
        <v>0</v>
      </c>
      <c r="N123" s="68">
        <f t="shared" si="10"/>
        <v>0</v>
      </c>
    </row>
    <row r="124" spans="2:14" x14ac:dyDescent="0.3">
      <c r="B124" s="67" t="str">
        <f t="shared" si="0"/>
        <v>C3-C5</v>
      </c>
      <c r="C124" s="50" t="str">
        <f t="shared" si="0"/>
        <v>kmol/hr</v>
      </c>
      <c r="D124" s="54">
        <f t="shared" si="0"/>
        <v>0</v>
      </c>
      <c r="E124" s="54">
        <f t="shared" si="1"/>
        <v>0</v>
      </c>
      <c r="F124" s="54">
        <f t="shared" si="2"/>
        <v>0</v>
      </c>
      <c r="G124" s="54">
        <f t="shared" si="3"/>
        <v>0</v>
      </c>
      <c r="H124" s="54">
        <f t="shared" si="4"/>
        <v>0</v>
      </c>
      <c r="I124" s="54">
        <f t="shared" si="5"/>
        <v>0</v>
      </c>
      <c r="J124" s="54">
        <f t="shared" si="6"/>
        <v>0</v>
      </c>
      <c r="K124" s="54">
        <f t="shared" si="7"/>
        <v>0</v>
      </c>
      <c r="L124" s="54">
        <f t="shared" si="8"/>
        <v>0</v>
      </c>
      <c r="M124" s="54">
        <f t="shared" si="9"/>
        <v>0</v>
      </c>
      <c r="N124" s="68">
        <f t="shared" si="10"/>
        <v>0</v>
      </c>
    </row>
    <row r="125" spans="2:14" x14ac:dyDescent="0.3">
      <c r="B125" s="67" t="str">
        <f t="shared" si="0"/>
        <v>BEN</v>
      </c>
      <c r="C125" s="50" t="str">
        <f t="shared" si="0"/>
        <v>kmol/hr</v>
      </c>
      <c r="D125" s="54">
        <f t="shared" si="0"/>
        <v>0</v>
      </c>
      <c r="E125" s="54">
        <f t="shared" si="1"/>
        <v>0</v>
      </c>
      <c r="F125" s="54">
        <f t="shared" si="2"/>
        <v>3.5999699195706998E-7</v>
      </c>
      <c r="G125" s="54">
        <f t="shared" si="3"/>
        <v>153.985533324024</v>
      </c>
      <c r="H125" s="54">
        <f t="shared" si="4"/>
        <v>5.2571403709701998E-239</v>
      </c>
      <c r="I125" s="54">
        <f t="shared" si="5"/>
        <v>7.0036464348541303</v>
      </c>
      <c r="J125" s="54">
        <f t="shared" si="6"/>
        <v>2.25044661829924</v>
      </c>
      <c r="K125" s="54">
        <f t="shared" si="7"/>
        <v>144.71826348319701</v>
      </c>
      <c r="L125" s="54">
        <f t="shared" si="8"/>
        <v>6.6589644960968004E-18</v>
      </c>
      <c r="M125" s="54">
        <f t="shared" si="9"/>
        <v>0</v>
      </c>
      <c r="N125" s="68">
        <f t="shared" si="10"/>
        <v>0</v>
      </c>
    </row>
    <row r="126" spans="2:14" x14ac:dyDescent="0.3">
      <c r="B126" s="67" t="str">
        <f t="shared" si="0"/>
        <v>NAP</v>
      </c>
      <c r="C126" s="50" t="str">
        <f t="shared" si="0"/>
        <v>kmol/hr</v>
      </c>
      <c r="D126" s="54">
        <f t="shared" si="0"/>
        <v>0</v>
      </c>
      <c r="E126" s="54">
        <f t="shared" si="1"/>
        <v>0</v>
      </c>
      <c r="F126" s="54">
        <f t="shared" si="2"/>
        <v>1.8118092930555701E-56</v>
      </c>
      <c r="G126" s="54">
        <f t="shared" si="3"/>
        <v>33.068929400000201</v>
      </c>
      <c r="H126" s="54">
        <f t="shared" si="4"/>
        <v>0</v>
      </c>
      <c r="I126" s="54">
        <f t="shared" si="5"/>
        <v>7.4870778619701203E-6</v>
      </c>
      <c r="J126" s="54">
        <f t="shared" si="6"/>
        <v>32.199125472334302</v>
      </c>
      <c r="K126" s="54">
        <f t="shared" si="7"/>
        <v>0.86903726712974705</v>
      </c>
      <c r="L126" s="54">
        <f t="shared" si="8"/>
        <v>0</v>
      </c>
      <c r="M126" s="54">
        <f t="shared" si="9"/>
        <v>0</v>
      </c>
      <c r="N126" s="68">
        <f t="shared" si="10"/>
        <v>0</v>
      </c>
    </row>
    <row r="127" spans="2:14" x14ac:dyDescent="0.3">
      <c r="B127" s="67" t="str">
        <f t="shared" si="0"/>
        <v>C</v>
      </c>
      <c r="C127" s="50" t="str">
        <f t="shared" si="0"/>
        <v>kmol/hr</v>
      </c>
      <c r="D127" s="54">
        <f t="shared" si="0"/>
        <v>0</v>
      </c>
      <c r="E127" s="54">
        <f t="shared" si="1"/>
        <v>0</v>
      </c>
      <c r="F127" s="54">
        <f t="shared" si="2"/>
        <v>0</v>
      </c>
      <c r="G127" s="54">
        <f t="shared" si="3"/>
        <v>0</v>
      </c>
      <c r="H127" s="54">
        <f t="shared" si="4"/>
        <v>0</v>
      </c>
      <c r="I127" s="54">
        <f t="shared" si="5"/>
        <v>0</v>
      </c>
      <c r="J127" s="54">
        <f t="shared" si="6"/>
        <v>0</v>
      </c>
      <c r="K127" s="54">
        <f t="shared" si="7"/>
        <v>0</v>
      </c>
      <c r="L127" s="54">
        <f t="shared" si="8"/>
        <v>0</v>
      </c>
      <c r="M127" s="54">
        <f t="shared" si="9"/>
        <v>0</v>
      </c>
      <c r="N127" s="68">
        <f t="shared" si="10"/>
        <v>1392.0025000000001</v>
      </c>
    </row>
    <row r="128" spans="2:14" x14ac:dyDescent="0.3">
      <c r="B128" s="67" t="str">
        <f t="shared" si="0"/>
        <v>WATER</v>
      </c>
      <c r="C128" s="50" t="str">
        <f t="shared" si="0"/>
        <v>kmol/hr</v>
      </c>
      <c r="D128" s="54">
        <f t="shared" si="0"/>
        <v>0</v>
      </c>
      <c r="E128" s="54">
        <f t="shared" si="1"/>
        <v>0</v>
      </c>
      <c r="F128" s="54">
        <f t="shared" si="2"/>
        <v>0</v>
      </c>
      <c r="G128" s="54">
        <f t="shared" si="3"/>
        <v>0</v>
      </c>
      <c r="H128" s="54">
        <f t="shared" si="4"/>
        <v>0</v>
      </c>
      <c r="I128" s="54">
        <f t="shared" si="5"/>
        <v>0</v>
      </c>
      <c r="J128" s="54">
        <f t="shared" si="6"/>
        <v>0</v>
      </c>
      <c r="K128" s="54">
        <f t="shared" si="7"/>
        <v>0</v>
      </c>
      <c r="L128" s="54">
        <f t="shared" si="8"/>
        <v>0</v>
      </c>
      <c r="M128" s="54">
        <f t="shared" si="9"/>
        <v>0</v>
      </c>
      <c r="N128" s="68">
        <f t="shared" si="10"/>
        <v>0</v>
      </c>
    </row>
    <row r="129" spans="2:14" x14ac:dyDescent="0.3">
      <c r="B129" s="67" t="str">
        <f t="shared" si="0"/>
        <v>O2</v>
      </c>
      <c r="C129" s="50" t="str">
        <f t="shared" si="0"/>
        <v>kmol/hr</v>
      </c>
      <c r="D129" s="54">
        <f t="shared" si="0"/>
        <v>0</v>
      </c>
      <c r="E129" s="54">
        <f t="shared" si="1"/>
        <v>1400</v>
      </c>
      <c r="F129" s="54">
        <f t="shared" si="2"/>
        <v>0</v>
      </c>
      <c r="G129" s="54">
        <f t="shared" si="3"/>
        <v>0</v>
      </c>
      <c r="H129" s="54">
        <f t="shared" si="4"/>
        <v>0</v>
      </c>
      <c r="I129" s="54">
        <f t="shared" si="5"/>
        <v>0</v>
      </c>
      <c r="J129" s="54">
        <f t="shared" si="6"/>
        <v>0</v>
      </c>
      <c r="K129" s="54">
        <f t="shared" si="7"/>
        <v>0</v>
      </c>
      <c r="L129" s="54">
        <f t="shared" si="8"/>
        <v>0</v>
      </c>
      <c r="M129" s="54">
        <f t="shared" si="9"/>
        <v>7.9975000000000298</v>
      </c>
      <c r="N129" s="68">
        <f t="shared" si="10"/>
        <v>0</v>
      </c>
    </row>
    <row r="130" spans="2:14" x14ac:dyDescent="0.3">
      <c r="B130" s="67" t="str">
        <f t="shared" si="0"/>
        <v>CO2</v>
      </c>
      <c r="C130" s="50" t="str">
        <f t="shared" si="0"/>
        <v>kmol/hr</v>
      </c>
      <c r="D130" s="54">
        <f t="shared" si="0"/>
        <v>0</v>
      </c>
      <c r="E130" s="54">
        <f t="shared" si="1"/>
        <v>0</v>
      </c>
      <c r="F130" s="54">
        <f t="shared" si="2"/>
        <v>0</v>
      </c>
      <c r="G130" s="54">
        <f t="shared" si="3"/>
        <v>0</v>
      </c>
      <c r="H130" s="54">
        <f t="shared" si="4"/>
        <v>0</v>
      </c>
      <c r="I130" s="54">
        <f t="shared" si="5"/>
        <v>0</v>
      </c>
      <c r="J130" s="54">
        <f t="shared" si="6"/>
        <v>0</v>
      </c>
      <c r="K130" s="54">
        <f t="shared" si="7"/>
        <v>0</v>
      </c>
      <c r="L130" s="54">
        <f t="shared" si="8"/>
        <v>0</v>
      </c>
      <c r="M130" s="54">
        <f t="shared" si="9"/>
        <v>1392.0025000000001</v>
      </c>
      <c r="N130" s="68">
        <f t="shared" si="10"/>
        <v>0</v>
      </c>
    </row>
    <row r="131" spans="2:14" x14ac:dyDescent="0.3">
      <c r="B131" s="65" t="str">
        <f t="shared" si="0"/>
        <v>Mole Fractions</v>
      </c>
      <c r="C131" s="55"/>
      <c r="D131" s="53"/>
      <c r="E131" s="53"/>
      <c r="F131" s="53"/>
      <c r="G131" s="53"/>
      <c r="H131" s="53"/>
      <c r="I131" s="54"/>
      <c r="J131" s="54"/>
      <c r="K131" s="54"/>
      <c r="L131" s="54"/>
      <c r="M131" s="54"/>
      <c r="N131" s="68"/>
    </row>
    <row r="132" spans="2:14" x14ac:dyDescent="0.3">
      <c r="B132" s="67" t="str">
        <f t="shared" si="0"/>
        <v>H2</v>
      </c>
      <c r="C132" s="56"/>
      <c r="D132" s="57">
        <f t="shared" si="0"/>
        <v>0</v>
      </c>
      <c r="E132" s="57">
        <f t="shared" si="1"/>
        <v>0</v>
      </c>
      <c r="F132" s="57">
        <f t="shared" si="2"/>
        <v>0.814821039726359</v>
      </c>
      <c r="G132" s="57">
        <f t="shared" si="3"/>
        <v>0.85398234671434803</v>
      </c>
      <c r="H132" s="57">
        <f t="shared" si="4"/>
        <v>4.8564991086507399E-13</v>
      </c>
      <c r="I132" s="57">
        <f t="shared" si="5"/>
        <v>8.0803130370403003E-43</v>
      </c>
      <c r="J132" s="57">
        <f t="shared" ref="J132:J156" si="11">O72</f>
        <v>5.9815184262254203E-3</v>
      </c>
      <c r="K132" s="57">
        <f t="shared" si="7"/>
        <v>3.9449528844618298E-10</v>
      </c>
      <c r="L132" s="57">
        <f t="shared" si="8"/>
        <v>0.96418773790093004</v>
      </c>
      <c r="M132" s="57">
        <f t="shared" si="9"/>
        <v>0</v>
      </c>
      <c r="N132" s="69">
        <f t="shared" si="10"/>
        <v>0</v>
      </c>
    </row>
    <row r="133" spans="2:14" x14ac:dyDescent="0.3">
      <c r="B133" s="67" t="str">
        <f t="shared" si="0"/>
        <v>CH4</v>
      </c>
      <c r="C133" s="56"/>
      <c r="D133" s="57">
        <f t="shared" si="0"/>
        <v>1</v>
      </c>
      <c r="E133" s="57">
        <f t="shared" si="1"/>
        <v>0</v>
      </c>
      <c r="F133" s="57">
        <f t="shared" si="2"/>
        <v>0.183336570365879</v>
      </c>
      <c r="G133" s="57">
        <f t="shared" si="3"/>
        <v>0.12247148292839299</v>
      </c>
      <c r="H133" s="57">
        <f t="shared" si="4"/>
        <v>1.9882538870566501E-4</v>
      </c>
      <c r="I133" s="57">
        <f t="shared" si="5"/>
        <v>4.20538768342083E-18</v>
      </c>
      <c r="J133" s="57">
        <f t="shared" si="11"/>
        <v>5.7866986498584204E-3</v>
      </c>
      <c r="K133" s="57">
        <f t="shared" si="7"/>
        <v>5.1457476767525798E-8</v>
      </c>
      <c r="L133" s="57">
        <f t="shared" si="8"/>
        <v>3.58034148468152E-2</v>
      </c>
      <c r="M133" s="57">
        <f t="shared" si="9"/>
        <v>0</v>
      </c>
      <c r="N133" s="69">
        <f t="shared" si="10"/>
        <v>0</v>
      </c>
    </row>
    <row r="134" spans="2:14" x14ac:dyDescent="0.3">
      <c r="B134" s="67" t="str">
        <f t="shared" si="0"/>
        <v>C2H6</v>
      </c>
      <c r="C134" s="56"/>
      <c r="D134" s="57">
        <f t="shared" si="0"/>
        <v>0</v>
      </c>
      <c r="E134" s="57">
        <f t="shared" si="1"/>
        <v>0</v>
      </c>
      <c r="F134" s="57">
        <f t="shared" si="2"/>
        <v>1.73785833923153E-5</v>
      </c>
      <c r="G134" s="57">
        <f t="shared" si="3"/>
        <v>5.4596538757530901E-4</v>
      </c>
      <c r="H134" s="57">
        <f t="shared" si="4"/>
        <v>4.3509669566632602E-16</v>
      </c>
      <c r="I134" s="57">
        <f t="shared" si="5"/>
        <v>4.55880778741833E-2</v>
      </c>
      <c r="J134" s="57">
        <f t="shared" si="11"/>
        <v>1.81134453043486E-4</v>
      </c>
      <c r="K134" s="57">
        <f t="shared" si="7"/>
        <v>7.3864800478124197E-7</v>
      </c>
      <c r="L134" s="57">
        <f t="shared" si="8"/>
        <v>1.6048357062386101E-8</v>
      </c>
      <c r="M134" s="57">
        <f t="shared" si="9"/>
        <v>0</v>
      </c>
      <c r="N134" s="69">
        <f t="shared" si="10"/>
        <v>0</v>
      </c>
    </row>
    <row r="135" spans="2:14" x14ac:dyDescent="0.3">
      <c r="B135" s="67" t="str">
        <f t="shared" si="0"/>
        <v>C2H4</v>
      </c>
      <c r="C135" s="56"/>
      <c r="D135" s="57">
        <f t="shared" si="0"/>
        <v>0</v>
      </c>
      <c r="E135" s="57">
        <f t="shared" si="1"/>
        <v>0</v>
      </c>
      <c r="F135" s="57">
        <f t="shared" si="2"/>
        <v>1.5248469603628501E-3</v>
      </c>
      <c r="G135" s="57">
        <f t="shared" si="3"/>
        <v>1.08518848035232E-2</v>
      </c>
      <c r="H135" s="57">
        <f t="shared" si="4"/>
        <v>0.99860001337212201</v>
      </c>
      <c r="I135" s="57">
        <f t="shared" si="5"/>
        <v>8.0762414693266596E-4</v>
      </c>
      <c r="J135" s="57">
        <f t="shared" si="11"/>
        <v>2.41398427255326E-3</v>
      </c>
      <c r="K135" s="57">
        <f t="shared" si="7"/>
        <v>2.5746367511804399E-6</v>
      </c>
      <c r="L135" s="57">
        <f t="shared" si="8"/>
        <v>8.6457570398917097E-6</v>
      </c>
      <c r="M135" s="57">
        <f t="shared" si="9"/>
        <v>0</v>
      </c>
      <c r="N135" s="69">
        <f t="shared" si="10"/>
        <v>0</v>
      </c>
    </row>
    <row r="136" spans="2:14" x14ac:dyDescent="0.3">
      <c r="B136" s="67" t="str">
        <f t="shared" si="0"/>
        <v>C2H2</v>
      </c>
      <c r="C136" s="56"/>
      <c r="D136" s="57">
        <f t="shared" si="0"/>
        <v>0</v>
      </c>
      <c r="E136" s="57">
        <f t="shared" si="1"/>
        <v>0</v>
      </c>
      <c r="F136" s="57">
        <f t="shared" si="2"/>
        <v>3.0016436238437002E-4</v>
      </c>
      <c r="G136" s="57">
        <f t="shared" si="3"/>
        <v>1.1340092540417301E-2</v>
      </c>
      <c r="H136" s="57">
        <f t="shared" si="4"/>
        <v>1.2011612386860599E-3</v>
      </c>
      <c r="I136" s="57">
        <f t="shared" si="5"/>
        <v>0.95099668176893903</v>
      </c>
      <c r="J136" s="57">
        <f t="shared" si="11"/>
        <v>4.22074538220003E-3</v>
      </c>
      <c r="K136" s="57">
        <f t="shared" si="7"/>
        <v>3.1809353654008998E-5</v>
      </c>
      <c r="L136" s="57">
        <f t="shared" si="8"/>
        <v>1.85446858038415E-7</v>
      </c>
      <c r="M136" s="57">
        <f t="shared" si="9"/>
        <v>0</v>
      </c>
      <c r="N136" s="69">
        <f t="shared" si="10"/>
        <v>0</v>
      </c>
    </row>
    <row r="137" spans="2:14" x14ac:dyDescent="0.3">
      <c r="B137" s="67" t="str">
        <f t="shared" si="0"/>
        <v>C3-C5</v>
      </c>
      <c r="C137" s="56"/>
      <c r="D137" s="57">
        <f t="shared" si="0"/>
        <v>0</v>
      </c>
      <c r="E137" s="57">
        <f t="shared" si="1"/>
        <v>0</v>
      </c>
      <c r="F137" s="57">
        <f t="shared" si="2"/>
        <v>0</v>
      </c>
      <c r="G137" s="57">
        <f t="shared" si="3"/>
        <v>0</v>
      </c>
      <c r="H137" s="57">
        <f t="shared" si="4"/>
        <v>0</v>
      </c>
      <c r="I137" s="57">
        <f t="shared" si="5"/>
        <v>0</v>
      </c>
      <c r="J137" s="57">
        <f t="shared" si="11"/>
        <v>0</v>
      </c>
      <c r="K137" s="57">
        <f t="shared" si="7"/>
        <v>0</v>
      </c>
      <c r="L137" s="57">
        <f t="shared" si="8"/>
        <v>0</v>
      </c>
      <c r="M137" s="57">
        <f t="shared" si="9"/>
        <v>0</v>
      </c>
      <c r="N137" s="69">
        <f t="shared" si="10"/>
        <v>0</v>
      </c>
    </row>
    <row r="138" spans="2:14" x14ac:dyDescent="0.3">
      <c r="B138" s="67" t="str">
        <f t="shared" ref="B138:D157" si="12">B78</f>
        <v>BEN</v>
      </c>
      <c r="C138" s="56"/>
      <c r="D138" s="57">
        <f t="shared" si="12"/>
        <v>0</v>
      </c>
      <c r="E138" s="57">
        <f t="shared" si="1"/>
        <v>0</v>
      </c>
      <c r="F138" s="57">
        <f t="shared" si="2"/>
        <v>1.6217986875306001E-12</v>
      </c>
      <c r="G138" s="57">
        <f t="shared" si="3"/>
        <v>6.6534291769818304E-4</v>
      </c>
      <c r="H138" s="57">
        <f t="shared" si="4"/>
        <v>2.42258785686542E-242</v>
      </c>
      <c r="I138" s="57">
        <f t="shared" si="5"/>
        <v>2.60761342233921E-3</v>
      </c>
      <c r="J138" s="57">
        <f t="shared" si="11"/>
        <v>6.4111801732517806E-2</v>
      </c>
      <c r="K138" s="57">
        <f t="shared" si="7"/>
        <v>0.99399585229074505</v>
      </c>
      <c r="L138" s="57">
        <f t="shared" si="8"/>
        <v>3.8290607423090302E-22</v>
      </c>
      <c r="M138" s="57">
        <f t="shared" si="9"/>
        <v>0</v>
      </c>
      <c r="N138" s="69">
        <f t="shared" si="10"/>
        <v>0</v>
      </c>
    </row>
    <row r="139" spans="2:14" x14ac:dyDescent="0.3">
      <c r="B139" s="67" t="str">
        <f t="shared" si="12"/>
        <v>NAP</v>
      </c>
      <c r="C139" s="56"/>
      <c r="D139" s="57">
        <f t="shared" si="12"/>
        <v>0</v>
      </c>
      <c r="E139" s="57">
        <f t="shared" si="1"/>
        <v>0</v>
      </c>
      <c r="F139" s="57">
        <f t="shared" si="2"/>
        <v>8.1622624610254395E-62</v>
      </c>
      <c r="G139" s="57">
        <f t="shared" si="3"/>
        <v>1.4288470804496499E-4</v>
      </c>
      <c r="H139" s="57">
        <f t="shared" si="4"/>
        <v>0</v>
      </c>
      <c r="I139" s="57">
        <f t="shared" si="5"/>
        <v>2.7876057006265301E-9</v>
      </c>
      <c r="J139" s="57">
        <f t="shared" si="11"/>
        <v>0.91730411708360204</v>
      </c>
      <c r="K139" s="57">
        <f t="shared" si="7"/>
        <v>5.96897321887329E-3</v>
      </c>
      <c r="L139" s="57">
        <f t="shared" si="8"/>
        <v>0</v>
      </c>
      <c r="M139" s="57">
        <f t="shared" si="9"/>
        <v>0</v>
      </c>
      <c r="N139" s="69">
        <f t="shared" si="10"/>
        <v>0</v>
      </c>
    </row>
    <row r="140" spans="2:14" x14ac:dyDescent="0.3">
      <c r="B140" s="67" t="str">
        <f t="shared" si="12"/>
        <v>C</v>
      </c>
      <c r="C140" s="56"/>
      <c r="D140" s="57">
        <f t="shared" si="12"/>
        <v>0</v>
      </c>
      <c r="E140" s="57">
        <f t="shared" si="1"/>
        <v>0</v>
      </c>
      <c r="F140" s="57">
        <f t="shared" si="2"/>
        <v>0</v>
      </c>
      <c r="G140" s="57">
        <f t="shared" si="3"/>
        <v>0</v>
      </c>
      <c r="H140" s="57">
        <f t="shared" si="4"/>
        <v>0</v>
      </c>
      <c r="I140" s="57">
        <f t="shared" si="5"/>
        <v>0</v>
      </c>
      <c r="J140" s="57">
        <f t="shared" si="11"/>
        <v>0</v>
      </c>
      <c r="K140" s="57">
        <f t="shared" si="7"/>
        <v>0</v>
      </c>
      <c r="L140" s="57">
        <f t="shared" si="8"/>
        <v>0</v>
      </c>
      <c r="M140" s="57">
        <f t="shared" si="9"/>
        <v>0</v>
      </c>
      <c r="N140" s="69">
        <f t="shared" si="10"/>
        <v>1</v>
      </c>
    </row>
    <row r="141" spans="2:14" x14ac:dyDescent="0.3">
      <c r="B141" s="67" t="str">
        <f t="shared" si="12"/>
        <v>WATER</v>
      </c>
      <c r="C141" s="56"/>
      <c r="D141" s="57">
        <f t="shared" si="12"/>
        <v>0</v>
      </c>
      <c r="E141" s="57">
        <f t="shared" si="1"/>
        <v>0</v>
      </c>
      <c r="F141" s="57">
        <f t="shared" si="2"/>
        <v>0</v>
      </c>
      <c r="G141" s="57">
        <f t="shared" si="3"/>
        <v>0</v>
      </c>
      <c r="H141" s="57">
        <f t="shared" si="4"/>
        <v>0</v>
      </c>
      <c r="I141" s="57">
        <f t="shared" si="5"/>
        <v>0</v>
      </c>
      <c r="J141" s="57">
        <f t="shared" si="11"/>
        <v>0</v>
      </c>
      <c r="K141" s="57">
        <f t="shared" si="7"/>
        <v>0</v>
      </c>
      <c r="L141" s="57">
        <f t="shared" si="8"/>
        <v>0</v>
      </c>
      <c r="M141" s="57">
        <f t="shared" si="9"/>
        <v>0</v>
      </c>
      <c r="N141" s="69">
        <f t="shared" si="10"/>
        <v>0</v>
      </c>
    </row>
    <row r="142" spans="2:14" x14ac:dyDescent="0.3">
      <c r="B142" s="67" t="str">
        <f t="shared" si="12"/>
        <v>O2</v>
      </c>
      <c r="C142" s="56"/>
      <c r="D142" s="57">
        <f t="shared" si="12"/>
        <v>0</v>
      </c>
      <c r="E142" s="57">
        <f t="shared" si="1"/>
        <v>1</v>
      </c>
      <c r="F142" s="57">
        <f t="shared" si="2"/>
        <v>0</v>
      </c>
      <c r="G142" s="57">
        <f t="shared" si="3"/>
        <v>0</v>
      </c>
      <c r="H142" s="57">
        <f t="shared" si="4"/>
        <v>0</v>
      </c>
      <c r="I142" s="57">
        <f t="shared" si="5"/>
        <v>0</v>
      </c>
      <c r="J142" s="57">
        <f t="shared" si="11"/>
        <v>0</v>
      </c>
      <c r="K142" s="57">
        <f t="shared" si="7"/>
        <v>0</v>
      </c>
      <c r="L142" s="57">
        <f t="shared" si="8"/>
        <v>0</v>
      </c>
      <c r="M142" s="57">
        <f t="shared" si="9"/>
        <v>5.7125000000000101E-3</v>
      </c>
      <c r="N142" s="69">
        <f t="shared" si="10"/>
        <v>0</v>
      </c>
    </row>
    <row r="143" spans="2:14" x14ac:dyDescent="0.3">
      <c r="B143" s="67" t="str">
        <f t="shared" si="12"/>
        <v>CO2</v>
      </c>
      <c r="C143" s="56"/>
      <c r="D143" s="57">
        <f t="shared" si="12"/>
        <v>0</v>
      </c>
      <c r="E143" s="57">
        <f t="shared" si="1"/>
        <v>0</v>
      </c>
      <c r="F143" s="57">
        <f t="shared" si="2"/>
        <v>0</v>
      </c>
      <c r="G143" s="57">
        <f t="shared" si="3"/>
        <v>0</v>
      </c>
      <c r="H143" s="57">
        <f t="shared" si="4"/>
        <v>0</v>
      </c>
      <c r="I143" s="57">
        <f t="shared" si="5"/>
        <v>0</v>
      </c>
      <c r="J143" s="57">
        <f t="shared" si="11"/>
        <v>0</v>
      </c>
      <c r="K143" s="57">
        <f t="shared" si="7"/>
        <v>0</v>
      </c>
      <c r="L143" s="57">
        <f t="shared" si="8"/>
        <v>0</v>
      </c>
      <c r="M143" s="57">
        <f t="shared" si="9"/>
        <v>0.99428749999999999</v>
      </c>
      <c r="N143" s="69">
        <f t="shared" si="10"/>
        <v>0</v>
      </c>
    </row>
    <row r="144" spans="2:14" x14ac:dyDescent="0.3">
      <c r="B144" s="65" t="str">
        <f t="shared" si="12"/>
        <v>Mass Flows</v>
      </c>
      <c r="C144" s="52" t="str">
        <f t="shared" si="12"/>
        <v>kg/hr</v>
      </c>
      <c r="D144" s="53">
        <f t="shared" si="12"/>
        <v>211552.667568</v>
      </c>
      <c r="E144" s="53">
        <f t="shared" si="1"/>
        <v>44798.32</v>
      </c>
      <c r="F144" s="53">
        <f t="shared" si="2"/>
        <v>1028831.73369842</v>
      </c>
      <c r="G144" s="53">
        <f t="shared" si="3"/>
        <v>1012012.4587809</v>
      </c>
      <c r="H144" s="53">
        <f t="shared" si="4"/>
        <v>60867.666647693899</v>
      </c>
      <c r="I144" s="53">
        <f t="shared" si="5"/>
        <v>70796.472034733597</v>
      </c>
      <c r="J144" s="53">
        <f t="shared" si="11"/>
        <v>4312.9737713518198</v>
      </c>
      <c r="K144" s="53">
        <f t="shared" si="7"/>
        <v>11415.9923572681</v>
      </c>
      <c r="L144" s="53">
        <f t="shared" si="8"/>
        <v>43795.087365572603</v>
      </c>
      <c r="M144" s="53">
        <f t="shared" si="9"/>
        <v>61517.662027500199</v>
      </c>
      <c r="N144" s="68">
        <f t="shared" si="10"/>
        <v>16719.342027499999</v>
      </c>
    </row>
    <row r="145" spans="2:14" x14ac:dyDescent="0.3">
      <c r="B145" s="67" t="str">
        <f t="shared" si="12"/>
        <v>H2</v>
      </c>
      <c r="C145" s="50" t="str">
        <f t="shared" si="12"/>
        <v>kg/hr</v>
      </c>
      <c r="D145" s="54">
        <f t="shared" si="12"/>
        <v>0</v>
      </c>
      <c r="E145" s="54">
        <f t="shared" si="1"/>
        <v>0</v>
      </c>
      <c r="F145" s="54">
        <f t="shared" si="2"/>
        <v>364610.22019186302</v>
      </c>
      <c r="G145" s="54">
        <f t="shared" si="3"/>
        <v>398426.25792997202</v>
      </c>
      <c r="H145" s="54">
        <f t="shared" si="4"/>
        <v>2.1245063170851999E-9</v>
      </c>
      <c r="I145" s="54">
        <f t="shared" si="5"/>
        <v>4.3749577948269799E-39</v>
      </c>
      <c r="J145" s="54">
        <f t="shared" si="11"/>
        <v>0.423259636634224</v>
      </c>
      <c r="K145" s="54">
        <f t="shared" si="7"/>
        <v>1.15783125066375E-7</v>
      </c>
      <c r="L145" s="54">
        <f t="shared" si="8"/>
        <v>33801.869730334198</v>
      </c>
      <c r="M145" s="54">
        <f t="shared" si="9"/>
        <v>0</v>
      </c>
      <c r="N145" s="68">
        <f t="shared" si="10"/>
        <v>0</v>
      </c>
    </row>
    <row r="146" spans="2:14" x14ac:dyDescent="0.3">
      <c r="B146" s="67" t="str">
        <f t="shared" si="12"/>
        <v>CH4</v>
      </c>
      <c r="C146" s="50" t="str">
        <f t="shared" si="12"/>
        <v>kg/hr</v>
      </c>
      <c r="D146" s="54">
        <f t="shared" si="12"/>
        <v>211552.667568</v>
      </c>
      <c r="E146" s="54">
        <f t="shared" si="1"/>
        <v>0</v>
      </c>
      <c r="F146" s="54">
        <f t="shared" si="2"/>
        <v>652875.11696004798</v>
      </c>
      <c r="G146" s="54">
        <f t="shared" si="3"/>
        <v>454724.59638074</v>
      </c>
      <c r="H146" s="54">
        <f t="shared" si="4"/>
        <v>6.9218305596724301</v>
      </c>
      <c r="I146" s="54">
        <f t="shared" si="5"/>
        <v>1.81203311657611E-13</v>
      </c>
      <c r="J146" s="54">
        <f t="shared" si="11"/>
        <v>3.2586722828767098</v>
      </c>
      <c r="K146" s="54">
        <f t="shared" si="7"/>
        <v>1.20189448836764E-4</v>
      </c>
      <c r="L146" s="54">
        <f t="shared" si="8"/>
        <v>9988.9072509559301</v>
      </c>
      <c r="M146" s="54">
        <f t="shared" si="9"/>
        <v>0</v>
      </c>
      <c r="N146" s="68">
        <f t="shared" si="10"/>
        <v>0</v>
      </c>
    </row>
    <row r="147" spans="2:14" x14ac:dyDescent="0.3">
      <c r="B147" s="67" t="str">
        <f t="shared" si="12"/>
        <v>C2H6</v>
      </c>
      <c r="C147" s="50" t="str">
        <f t="shared" si="12"/>
        <v>kg/hr</v>
      </c>
      <c r="D147" s="54">
        <f t="shared" si="12"/>
        <v>0</v>
      </c>
      <c r="E147" s="54">
        <f t="shared" si="1"/>
        <v>0</v>
      </c>
      <c r="F147" s="54">
        <f t="shared" si="2"/>
        <v>115.996404618079</v>
      </c>
      <c r="G147" s="54">
        <f t="shared" si="3"/>
        <v>3799.5111434147002</v>
      </c>
      <c r="H147" s="54">
        <f t="shared" si="4"/>
        <v>2.83912197380485E-11</v>
      </c>
      <c r="I147" s="54">
        <f t="shared" si="5"/>
        <v>3681.8027330077098</v>
      </c>
      <c r="J147" s="54">
        <f t="shared" si="11"/>
        <v>0.191187734227102</v>
      </c>
      <c r="K147" s="54">
        <f t="shared" si="7"/>
        <v>3.2337357518771098E-3</v>
      </c>
      <c r="L147" s="54">
        <f t="shared" si="8"/>
        <v>8.3921502490195508E-3</v>
      </c>
      <c r="M147" s="54">
        <f t="shared" si="9"/>
        <v>0</v>
      </c>
      <c r="N147" s="68">
        <f t="shared" si="10"/>
        <v>0</v>
      </c>
    </row>
    <row r="148" spans="2:14" x14ac:dyDescent="0.3">
      <c r="B148" s="67" t="str">
        <f t="shared" si="12"/>
        <v>C2H4</v>
      </c>
      <c r="C148" s="50" t="str">
        <f t="shared" si="12"/>
        <v>kg/hr</v>
      </c>
      <c r="D148" s="54">
        <f t="shared" si="12"/>
        <v>0</v>
      </c>
      <c r="E148" s="54">
        <f t="shared" si="1"/>
        <v>0</v>
      </c>
      <c r="F148" s="54">
        <f t="shared" si="2"/>
        <v>9495.5311530729705</v>
      </c>
      <c r="G148" s="54">
        <f t="shared" si="3"/>
        <v>70458.052584198405</v>
      </c>
      <c r="H148" s="54">
        <f t="shared" si="4"/>
        <v>60792.874954912302</v>
      </c>
      <c r="I148" s="54">
        <f t="shared" si="5"/>
        <v>60.852913797074102</v>
      </c>
      <c r="J148" s="54">
        <f t="shared" si="11"/>
        <v>2.3771481408673898</v>
      </c>
      <c r="K148" s="54">
        <f t="shared" si="7"/>
        <v>1.0515884609507999E-2</v>
      </c>
      <c r="L148" s="54">
        <f t="shared" si="8"/>
        <v>4.2180191562757798</v>
      </c>
      <c r="M148" s="54">
        <f t="shared" si="9"/>
        <v>0</v>
      </c>
      <c r="N148" s="68">
        <f t="shared" si="10"/>
        <v>0</v>
      </c>
    </row>
    <row r="149" spans="2:14" x14ac:dyDescent="0.3">
      <c r="B149" s="67" t="str">
        <f t="shared" si="12"/>
        <v>C2H2</v>
      </c>
      <c r="C149" s="50" t="str">
        <f t="shared" si="12"/>
        <v>kg/hr</v>
      </c>
      <c r="D149" s="54">
        <f t="shared" si="12"/>
        <v>0</v>
      </c>
      <c r="E149" s="54">
        <f t="shared" si="1"/>
        <v>0</v>
      </c>
      <c r="F149" s="54">
        <f t="shared" si="2"/>
        <v>1734.86896070136</v>
      </c>
      <c r="G149" s="54">
        <f t="shared" si="3"/>
        <v>68337.109143462207</v>
      </c>
      <c r="H149" s="54">
        <f t="shared" si="4"/>
        <v>67.869862219791401</v>
      </c>
      <c r="I149" s="54">
        <f t="shared" si="5"/>
        <v>66506.735111984206</v>
      </c>
      <c r="J149" s="54">
        <f t="shared" si="11"/>
        <v>3.8576738654275502</v>
      </c>
      <c r="K149" s="54">
        <f t="shared" si="7"/>
        <v>0.12058665165566899</v>
      </c>
      <c r="L149" s="54">
        <f t="shared" si="8"/>
        <v>8.3972975893651505E-2</v>
      </c>
      <c r="M149" s="54">
        <f t="shared" si="9"/>
        <v>0</v>
      </c>
      <c r="N149" s="68">
        <f t="shared" si="10"/>
        <v>0</v>
      </c>
    </row>
    <row r="150" spans="2:14" x14ac:dyDescent="0.3">
      <c r="B150" s="67" t="str">
        <f t="shared" si="12"/>
        <v>C3-C5</v>
      </c>
      <c r="C150" s="50" t="str">
        <f t="shared" si="12"/>
        <v>kg/hr</v>
      </c>
      <c r="D150" s="54">
        <f t="shared" si="12"/>
        <v>0</v>
      </c>
      <c r="E150" s="54">
        <f t="shared" ref="E150:E170" si="13">AZ90</f>
        <v>0</v>
      </c>
      <c r="F150" s="54">
        <f t="shared" ref="F150:F170" si="14">I90</f>
        <v>0</v>
      </c>
      <c r="G150" s="54">
        <f t="shared" ref="G150:G170" si="15">J90</f>
        <v>0</v>
      </c>
      <c r="H150" s="54">
        <f t="shared" ref="H150:H170" si="16">AD90</f>
        <v>0</v>
      </c>
      <c r="I150" s="54">
        <f t="shared" ref="I150:I170" si="17">AE90</f>
        <v>0</v>
      </c>
      <c r="J150" s="54">
        <f t="shared" si="11"/>
        <v>0</v>
      </c>
      <c r="K150" s="54">
        <f t="shared" ref="K150:K170" si="18">W90</f>
        <v>0</v>
      </c>
      <c r="L150" s="54">
        <f t="shared" ref="L150:L170" si="19">AN90</f>
        <v>0</v>
      </c>
      <c r="M150" s="54">
        <f t="shared" ref="M150:M170" si="20">BD90</f>
        <v>0</v>
      </c>
      <c r="N150" s="68">
        <f t="shared" ref="N150:N170" si="21">AY90</f>
        <v>0</v>
      </c>
    </row>
    <row r="151" spans="2:14" x14ac:dyDescent="0.3">
      <c r="B151" s="67" t="str">
        <f t="shared" si="12"/>
        <v>BEN</v>
      </c>
      <c r="C151" s="50" t="str">
        <f t="shared" si="12"/>
        <v>kg/hr</v>
      </c>
      <c r="D151" s="54">
        <f t="shared" si="12"/>
        <v>0</v>
      </c>
      <c r="E151" s="54">
        <f t="shared" si="13"/>
        <v>0</v>
      </c>
      <c r="F151" s="54">
        <f t="shared" si="14"/>
        <v>2.8120675430817401E-5</v>
      </c>
      <c r="G151" s="54">
        <f t="shared" si="15"/>
        <v>12028.3705152808</v>
      </c>
      <c r="H151" s="54">
        <f t="shared" si="16"/>
        <v>4.1065437036743099E-237</v>
      </c>
      <c r="I151" s="54">
        <f t="shared" si="17"/>
        <v>547.080316299478</v>
      </c>
      <c r="J151" s="54">
        <f t="shared" si="11"/>
        <v>175.79057698104401</v>
      </c>
      <c r="K151" s="54">
        <f t="shared" si="18"/>
        <v>11304.4703351516</v>
      </c>
      <c r="L151" s="54">
        <f t="shared" si="19"/>
        <v>5.20155955420885E-16</v>
      </c>
      <c r="M151" s="54">
        <f t="shared" si="20"/>
        <v>0</v>
      </c>
      <c r="N151" s="68">
        <f t="shared" si="21"/>
        <v>0</v>
      </c>
    </row>
    <row r="152" spans="2:14" x14ac:dyDescent="0.3">
      <c r="B152" s="67" t="str">
        <f t="shared" si="12"/>
        <v>NAP</v>
      </c>
      <c r="C152" s="50" t="str">
        <f t="shared" si="12"/>
        <v>kg/hr</v>
      </c>
      <c r="D152" s="54">
        <f t="shared" si="12"/>
        <v>0</v>
      </c>
      <c r="E152" s="54">
        <f t="shared" si="13"/>
        <v>0</v>
      </c>
      <c r="F152" s="54">
        <f t="shared" si="14"/>
        <v>2.32225974659644E-54</v>
      </c>
      <c r="G152" s="54">
        <f t="shared" si="15"/>
        <v>4238.5610838294897</v>
      </c>
      <c r="H152" s="54">
        <f t="shared" si="16"/>
        <v>0</v>
      </c>
      <c r="I152" s="54">
        <f t="shared" si="17"/>
        <v>9.59645124082786E-4</v>
      </c>
      <c r="J152" s="54">
        <f t="shared" si="11"/>
        <v>4127.0752527107397</v>
      </c>
      <c r="K152" s="54">
        <f t="shared" si="18"/>
        <v>111.3875655392</v>
      </c>
      <c r="L152" s="54">
        <f t="shared" si="19"/>
        <v>0</v>
      </c>
      <c r="M152" s="54">
        <f t="shared" si="20"/>
        <v>0</v>
      </c>
      <c r="N152" s="68">
        <f t="shared" si="21"/>
        <v>0</v>
      </c>
    </row>
    <row r="153" spans="2:14" x14ac:dyDescent="0.3">
      <c r="B153" s="67" t="str">
        <f t="shared" si="12"/>
        <v>C</v>
      </c>
      <c r="C153" s="50" t="str">
        <f t="shared" si="12"/>
        <v>kg/hr</v>
      </c>
      <c r="D153" s="54">
        <f t="shared" si="12"/>
        <v>0</v>
      </c>
      <c r="E153" s="54">
        <f t="shared" si="13"/>
        <v>0</v>
      </c>
      <c r="F153" s="54">
        <f t="shared" si="14"/>
        <v>0</v>
      </c>
      <c r="G153" s="54">
        <f t="shared" si="15"/>
        <v>0</v>
      </c>
      <c r="H153" s="54">
        <f t="shared" si="16"/>
        <v>0</v>
      </c>
      <c r="I153" s="54">
        <f t="shared" si="17"/>
        <v>0</v>
      </c>
      <c r="J153" s="54">
        <f t="shared" si="11"/>
        <v>0</v>
      </c>
      <c r="K153" s="54">
        <f t="shared" si="18"/>
        <v>0</v>
      </c>
      <c r="L153" s="54">
        <f t="shared" si="19"/>
        <v>0</v>
      </c>
      <c r="M153" s="54">
        <f t="shared" si="20"/>
        <v>0</v>
      </c>
      <c r="N153" s="68">
        <f t="shared" si="21"/>
        <v>16719.342027499999</v>
      </c>
    </row>
    <row r="154" spans="2:14" x14ac:dyDescent="0.3">
      <c r="B154" s="67" t="str">
        <f t="shared" si="12"/>
        <v>WATER</v>
      </c>
      <c r="C154" s="50" t="str">
        <f t="shared" si="12"/>
        <v>kg/hr</v>
      </c>
      <c r="D154" s="54">
        <f t="shared" si="12"/>
        <v>0</v>
      </c>
      <c r="E154" s="54">
        <f t="shared" si="13"/>
        <v>0</v>
      </c>
      <c r="F154" s="54">
        <f t="shared" si="14"/>
        <v>0</v>
      </c>
      <c r="G154" s="54">
        <f t="shared" si="15"/>
        <v>0</v>
      </c>
      <c r="H154" s="54">
        <f t="shared" si="16"/>
        <v>0</v>
      </c>
      <c r="I154" s="54">
        <f t="shared" si="17"/>
        <v>0</v>
      </c>
      <c r="J154" s="54">
        <f t="shared" si="11"/>
        <v>0</v>
      </c>
      <c r="K154" s="54">
        <f t="shared" si="18"/>
        <v>0</v>
      </c>
      <c r="L154" s="54">
        <f t="shared" si="19"/>
        <v>0</v>
      </c>
      <c r="M154" s="54">
        <f t="shared" si="20"/>
        <v>0</v>
      </c>
      <c r="N154" s="68">
        <f t="shared" si="21"/>
        <v>0</v>
      </c>
    </row>
    <row r="155" spans="2:14" x14ac:dyDescent="0.3">
      <c r="B155" s="67" t="str">
        <f t="shared" si="12"/>
        <v>O2</v>
      </c>
      <c r="C155" s="50" t="str">
        <f t="shared" si="12"/>
        <v>kg/hr</v>
      </c>
      <c r="D155" s="54">
        <f t="shared" si="12"/>
        <v>0</v>
      </c>
      <c r="E155" s="54">
        <f t="shared" si="13"/>
        <v>44798.32</v>
      </c>
      <c r="F155" s="54">
        <f t="shared" si="14"/>
        <v>0</v>
      </c>
      <c r="G155" s="54">
        <f t="shared" si="15"/>
        <v>0</v>
      </c>
      <c r="H155" s="54">
        <f t="shared" si="16"/>
        <v>0</v>
      </c>
      <c r="I155" s="54">
        <f t="shared" si="17"/>
        <v>0</v>
      </c>
      <c r="J155" s="54">
        <f t="shared" si="11"/>
        <v>0</v>
      </c>
      <c r="K155" s="54">
        <f t="shared" si="18"/>
        <v>0</v>
      </c>
      <c r="L155" s="54">
        <f t="shared" si="19"/>
        <v>0</v>
      </c>
      <c r="M155" s="54">
        <f t="shared" si="20"/>
        <v>255.91040300000199</v>
      </c>
      <c r="N155" s="68">
        <f t="shared" si="21"/>
        <v>0</v>
      </c>
    </row>
    <row r="156" spans="2:14" x14ac:dyDescent="0.3">
      <c r="B156" s="67" t="str">
        <f t="shared" si="12"/>
        <v>CO2</v>
      </c>
      <c r="C156" s="50" t="str">
        <f t="shared" si="12"/>
        <v>kg/hr</v>
      </c>
      <c r="D156" s="54">
        <f t="shared" si="12"/>
        <v>0</v>
      </c>
      <c r="E156" s="54">
        <f t="shared" si="13"/>
        <v>0</v>
      </c>
      <c r="F156" s="54">
        <f t="shared" si="14"/>
        <v>0</v>
      </c>
      <c r="G156" s="54">
        <f t="shared" si="15"/>
        <v>0</v>
      </c>
      <c r="H156" s="54">
        <f t="shared" si="16"/>
        <v>0</v>
      </c>
      <c r="I156" s="54">
        <f t="shared" si="17"/>
        <v>0</v>
      </c>
      <c r="J156" s="54">
        <f t="shared" si="11"/>
        <v>0</v>
      </c>
      <c r="K156" s="54">
        <f t="shared" si="18"/>
        <v>0</v>
      </c>
      <c r="L156" s="54">
        <f t="shared" si="19"/>
        <v>0</v>
      </c>
      <c r="M156" s="54">
        <f t="shared" si="20"/>
        <v>61261.751624500197</v>
      </c>
      <c r="N156" s="68">
        <f t="shared" si="21"/>
        <v>0</v>
      </c>
    </row>
    <row r="157" spans="2:14" x14ac:dyDescent="0.3">
      <c r="B157" s="65" t="str">
        <f t="shared" si="12"/>
        <v>Mass Fractions</v>
      </c>
      <c r="C157" s="50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68"/>
    </row>
    <row r="158" spans="2:14" x14ac:dyDescent="0.3">
      <c r="B158" s="67" t="str">
        <f t="shared" ref="B158:D170" si="22">B98</f>
        <v>H2</v>
      </c>
      <c r="C158" s="50"/>
      <c r="D158" s="57">
        <f t="shared" si="22"/>
        <v>0</v>
      </c>
      <c r="E158" s="57">
        <f t="shared" si="13"/>
        <v>0</v>
      </c>
      <c r="F158" s="57">
        <f t="shared" si="14"/>
        <v>0.35439247084765702</v>
      </c>
      <c r="G158" s="57">
        <f t="shared" si="15"/>
        <v>0.393696989076527</v>
      </c>
      <c r="H158" s="57">
        <f t="shared" si="16"/>
        <v>3.4903692454353103E-14</v>
      </c>
      <c r="I158" s="57">
        <f t="shared" si="17"/>
        <v>6.1796268501636201E-44</v>
      </c>
      <c r="J158" s="57">
        <f t="shared" ref="J158:J170" si="23">O98</f>
        <v>9.8136380852963394E-5</v>
      </c>
      <c r="K158" s="57">
        <f t="shared" si="18"/>
        <v>1.01421866310782E-11</v>
      </c>
      <c r="L158" s="57">
        <f t="shared" si="19"/>
        <v>0.77181875328112604</v>
      </c>
      <c r="M158" s="57">
        <f t="shared" si="20"/>
        <v>0</v>
      </c>
      <c r="N158" s="69">
        <f t="shared" si="21"/>
        <v>0</v>
      </c>
    </row>
    <row r="159" spans="2:14" x14ac:dyDescent="0.3">
      <c r="B159" s="67" t="str">
        <f t="shared" si="22"/>
        <v>CH4</v>
      </c>
      <c r="C159" s="50"/>
      <c r="D159" s="57">
        <f t="shared" si="22"/>
        <v>1</v>
      </c>
      <c r="E159" s="57">
        <f t="shared" si="13"/>
        <v>0</v>
      </c>
      <c r="F159" s="57">
        <f t="shared" si="14"/>
        <v>0.63457910130075901</v>
      </c>
      <c r="G159" s="57">
        <f t="shared" si="15"/>
        <v>0.44932707343199701</v>
      </c>
      <c r="H159" s="57">
        <f t="shared" si="16"/>
        <v>1.13719334761696E-4</v>
      </c>
      <c r="I159" s="57">
        <f t="shared" si="17"/>
        <v>2.5594963484721398E-18</v>
      </c>
      <c r="J159" s="57">
        <f t="shared" si="23"/>
        <v>7.5555114768419899E-4</v>
      </c>
      <c r="K159" s="57">
        <f t="shared" si="18"/>
        <v>1.05281647950863E-8</v>
      </c>
      <c r="L159" s="57">
        <f t="shared" si="19"/>
        <v>0.228082825079788</v>
      </c>
      <c r="M159" s="57">
        <f t="shared" si="20"/>
        <v>0</v>
      </c>
      <c r="N159" s="69">
        <f t="shared" si="21"/>
        <v>0</v>
      </c>
    </row>
    <row r="160" spans="2:14" x14ac:dyDescent="0.3">
      <c r="B160" s="67" t="str">
        <f t="shared" si="22"/>
        <v>C2H6</v>
      </c>
      <c r="C160" s="50"/>
      <c r="D160" s="57">
        <f t="shared" si="22"/>
        <v>0</v>
      </c>
      <c r="E160" s="57">
        <f t="shared" si="13"/>
        <v>0</v>
      </c>
      <c r="F160" s="57">
        <f t="shared" si="14"/>
        <v>1.12745749201473E-4</v>
      </c>
      <c r="G160" s="57">
        <f t="shared" si="15"/>
        <v>3.7544114308550201E-3</v>
      </c>
      <c r="H160" s="57">
        <f t="shared" si="16"/>
        <v>4.6644173009586102E-16</v>
      </c>
      <c r="I160" s="57">
        <f t="shared" si="17"/>
        <v>5.2005454893308399E-2</v>
      </c>
      <c r="J160" s="57">
        <f t="shared" si="23"/>
        <v>4.43285177148615E-5</v>
      </c>
      <c r="K160" s="57">
        <f t="shared" si="18"/>
        <v>2.8326365774223098E-7</v>
      </c>
      <c r="L160" s="57">
        <f t="shared" si="19"/>
        <v>1.9162309642100701E-7</v>
      </c>
      <c r="M160" s="57">
        <f t="shared" si="20"/>
        <v>0</v>
      </c>
      <c r="N160" s="69">
        <f t="shared" si="21"/>
        <v>0</v>
      </c>
    </row>
    <row r="161" spans="2:15" x14ac:dyDescent="0.3">
      <c r="B161" s="67" t="str">
        <f t="shared" si="22"/>
        <v>C2H4</v>
      </c>
      <c r="C161" s="50"/>
      <c r="D161" s="57">
        <f t="shared" si="22"/>
        <v>0</v>
      </c>
      <c r="E161" s="57">
        <f t="shared" si="13"/>
        <v>0</v>
      </c>
      <c r="F161" s="57">
        <f t="shared" si="14"/>
        <v>9.2294306659249491E-3</v>
      </c>
      <c r="G161" s="57">
        <f t="shared" si="15"/>
        <v>6.9621724488524994E-2</v>
      </c>
      <c r="H161" s="57">
        <f t="shared" si="16"/>
        <v>0.99877124100691195</v>
      </c>
      <c r="I161" s="57">
        <f t="shared" si="17"/>
        <v>8.59547263417574E-4</v>
      </c>
      <c r="J161" s="57">
        <f t="shared" si="23"/>
        <v>5.5116220660955196E-4</v>
      </c>
      <c r="K161" s="57">
        <f t="shared" si="18"/>
        <v>9.2115378851081798E-7</v>
      </c>
      <c r="L161" s="57">
        <f t="shared" si="19"/>
        <v>9.6312609701323902E-5</v>
      </c>
      <c r="M161" s="57">
        <f t="shared" si="20"/>
        <v>0</v>
      </c>
      <c r="N161" s="69">
        <f t="shared" si="21"/>
        <v>0</v>
      </c>
    </row>
    <row r="162" spans="2:15" x14ac:dyDescent="0.3">
      <c r="B162" s="67" t="str">
        <f t="shared" si="22"/>
        <v>C2H2</v>
      </c>
      <c r="C162" s="50"/>
      <c r="D162" s="57">
        <f t="shared" si="22"/>
        <v>0</v>
      </c>
      <c r="E162" s="57">
        <f t="shared" si="13"/>
        <v>0</v>
      </c>
      <c r="F162" s="57">
        <f t="shared" si="14"/>
        <v>1.68625140912488E-3</v>
      </c>
      <c r="G162" s="57">
        <f t="shared" si="15"/>
        <v>6.7525956375856497E-2</v>
      </c>
      <c r="H162" s="57">
        <f t="shared" si="16"/>
        <v>1.1150396582906099E-3</v>
      </c>
      <c r="I162" s="57">
        <f t="shared" si="17"/>
        <v>0.93940747611484399</v>
      </c>
      <c r="J162" s="57">
        <f t="shared" si="23"/>
        <v>8.9443480761498796E-4</v>
      </c>
      <c r="K162" s="57">
        <f t="shared" si="18"/>
        <v>1.0562958337905401E-5</v>
      </c>
      <c r="L162" s="57">
        <f t="shared" si="19"/>
        <v>1.9174062878948099E-6</v>
      </c>
      <c r="M162" s="57">
        <f t="shared" si="20"/>
        <v>0</v>
      </c>
      <c r="N162" s="69">
        <f t="shared" si="21"/>
        <v>0</v>
      </c>
    </row>
    <row r="163" spans="2:15" x14ac:dyDescent="0.3">
      <c r="B163" s="67" t="str">
        <f t="shared" si="22"/>
        <v>C3-C5</v>
      </c>
      <c r="C163" s="50"/>
      <c r="D163" s="57">
        <f t="shared" si="22"/>
        <v>0</v>
      </c>
      <c r="E163" s="57">
        <f t="shared" si="13"/>
        <v>0</v>
      </c>
      <c r="F163" s="57">
        <f t="shared" si="14"/>
        <v>0</v>
      </c>
      <c r="G163" s="57">
        <f t="shared" si="15"/>
        <v>0</v>
      </c>
      <c r="H163" s="57">
        <f t="shared" si="16"/>
        <v>0</v>
      </c>
      <c r="I163" s="57">
        <f t="shared" si="17"/>
        <v>0</v>
      </c>
      <c r="J163" s="57">
        <f t="shared" si="23"/>
        <v>0</v>
      </c>
      <c r="K163" s="57">
        <f t="shared" si="18"/>
        <v>0</v>
      </c>
      <c r="L163" s="57">
        <f t="shared" si="19"/>
        <v>0</v>
      </c>
      <c r="M163" s="57">
        <f t="shared" si="20"/>
        <v>0</v>
      </c>
      <c r="N163" s="69">
        <f t="shared" si="21"/>
        <v>0</v>
      </c>
    </row>
    <row r="164" spans="2:15" x14ac:dyDescent="0.3">
      <c r="B164" s="67" t="str">
        <f t="shared" si="22"/>
        <v>BEN</v>
      </c>
      <c r="C164" s="50"/>
      <c r="D164" s="57">
        <f t="shared" si="22"/>
        <v>0</v>
      </c>
      <c r="E164" s="57">
        <f t="shared" si="13"/>
        <v>0</v>
      </c>
      <c r="F164" s="57">
        <f t="shared" si="14"/>
        <v>2.73326283684211E-11</v>
      </c>
      <c r="G164" s="57">
        <f t="shared" si="15"/>
        <v>1.1885595291752199E-2</v>
      </c>
      <c r="H164" s="57">
        <f t="shared" si="16"/>
        <v>6.7466750901480404E-242</v>
      </c>
      <c r="I164" s="57">
        <f t="shared" si="17"/>
        <v>7.7275081734450501E-3</v>
      </c>
      <c r="J164" s="57">
        <f t="shared" si="23"/>
        <v>4.0758554607658898E-2</v>
      </c>
      <c r="K164" s="57">
        <f t="shared" si="18"/>
        <v>0.99023107070972705</v>
      </c>
      <c r="L164" s="57">
        <f t="shared" si="19"/>
        <v>1.1877038880616101E-20</v>
      </c>
      <c r="M164" s="57">
        <f t="shared" si="20"/>
        <v>0</v>
      </c>
      <c r="N164" s="69">
        <f t="shared" si="21"/>
        <v>0</v>
      </c>
    </row>
    <row r="165" spans="2:15" x14ac:dyDescent="0.3">
      <c r="B165" s="67" t="str">
        <f t="shared" si="22"/>
        <v>NAP</v>
      </c>
      <c r="C165" s="50"/>
      <c r="D165" s="57">
        <f t="shared" si="22"/>
        <v>0</v>
      </c>
      <c r="E165" s="57">
        <f t="shared" si="13"/>
        <v>0</v>
      </c>
      <c r="F165" s="57">
        <f t="shared" si="14"/>
        <v>2.25718129654538E-60</v>
      </c>
      <c r="G165" s="57">
        <f t="shared" si="15"/>
        <v>4.1882499044877302E-3</v>
      </c>
      <c r="H165" s="57">
        <f t="shared" si="16"/>
        <v>0</v>
      </c>
      <c r="I165" s="57">
        <f t="shared" si="17"/>
        <v>1.3554985107336601E-8</v>
      </c>
      <c r="J165" s="57">
        <f t="shared" si="23"/>
        <v>0.95689783233186498</v>
      </c>
      <c r="K165" s="57">
        <f t="shared" si="18"/>
        <v>9.7571513761818898E-3</v>
      </c>
      <c r="L165" s="57">
        <f t="shared" si="19"/>
        <v>0</v>
      </c>
      <c r="M165" s="57">
        <f t="shared" si="20"/>
        <v>0</v>
      </c>
      <c r="N165" s="69">
        <f t="shared" si="21"/>
        <v>0</v>
      </c>
    </row>
    <row r="166" spans="2:15" x14ac:dyDescent="0.3">
      <c r="B166" s="67" t="str">
        <f t="shared" si="22"/>
        <v>C</v>
      </c>
      <c r="C166" s="50"/>
      <c r="D166" s="57">
        <f t="shared" si="22"/>
        <v>0</v>
      </c>
      <c r="E166" s="57">
        <f t="shared" si="13"/>
        <v>0</v>
      </c>
      <c r="F166" s="57">
        <f t="shared" si="14"/>
        <v>0</v>
      </c>
      <c r="G166" s="57">
        <f t="shared" si="15"/>
        <v>0</v>
      </c>
      <c r="H166" s="57">
        <f t="shared" si="16"/>
        <v>0</v>
      </c>
      <c r="I166" s="57">
        <f t="shared" si="17"/>
        <v>0</v>
      </c>
      <c r="J166" s="57">
        <f t="shared" si="23"/>
        <v>0</v>
      </c>
      <c r="K166" s="57">
        <f t="shared" si="18"/>
        <v>0</v>
      </c>
      <c r="L166" s="57">
        <f t="shared" si="19"/>
        <v>0</v>
      </c>
      <c r="M166" s="57">
        <f t="shared" si="20"/>
        <v>0</v>
      </c>
      <c r="N166" s="69">
        <f t="shared" si="21"/>
        <v>1</v>
      </c>
    </row>
    <row r="167" spans="2:15" x14ac:dyDescent="0.3">
      <c r="B167" s="67" t="str">
        <f t="shared" si="22"/>
        <v>WATER</v>
      </c>
      <c r="C167" s="50"/>
      <c r="D167" s="57">
        <f t="shared" si="22"/>
        <v>0</v>
      </c>
      <c r="E167" s="57">
        <f t="shared" si="13"/>
        <v>0</v>
      </c>
      <c r="F167" s="57">
        <f t="shared" si="14"/>
        <v>0</v>
      </c>
      <c r="G167" s="57">
        <f t="shared" si="15"/>
        <v>0</v>
      </c>
      <c r="H167" s="57">
        <f t="shared" si="16"/>
        <v>0</v>
      </c>
      <c r="I167" s="57">
        <f t="shared" si="17"/>
        <v>0</v>
      </c>
      <c r="J167" s="57">
        <f t="shared" si="23"/>
        <v>0</v>
      </c>
      <c r="K167" s="57">
        <f t="shared" si="18"/>
        <v>0</v>
      </c>
      <c r="L167" s="57">
        <f t="shared" si="19"/>
        <v>0</v>
      </c>
      <c r="M167" s="57">
        <f t="shared" si="20"/>
        <v>0</v>
      </c>
      <c r="N167" s="69">
        <f t="shared" si="21"/>
        <v>0</v>
      </c>
    </row>
    <row r="168" spans="2:15" x14ac:dyDescent="0.3">
      <c r="B168" s="67" t="str">
        <f t="shared" si="22"/>
        <v>O2</v>
      </c>
      <c r="C168" s="50"/>
      <c r="D168" s="57">
        <f t="shared" si="22"/>
        <v>0</v>
      </c>
      <c r="E168" s="57">
        <f t="shared" si="13"/>
        <v>1</v>
      </c>
      <c r="F168" s="57">
        <f t="shared" si="14"/>
        <v>0</v>
      </c>
      <c r="G168" s="57">
        <f t="shared" si="15"/>
        <v>0</v>
      </c>
      <c r="H168" s="57">
        <f t="shared" si="16"/>
        <v>0</v>
      </c>
      <c r="I168" s="57">
        <f t="shared" si="17"/>
        <v>0</v>
      </c>
      <c r="J168" s="57">
        <f t="shared" si="23"/>
        <v>0</v>
      </c>
      <c r="K168" s="57">
        <f t="shared" si="18"/>
        <v>0</v>
      </c>
      <c r="L168" s="57">
        <f t="shared" si="19"/>
        <v>0</v>
      </c>
      <c r="M168" s="57">
        <f t="shared" si="20"/>
        <v>4.1599500788180501E-3</v>
      </c>
      <c r="N168" s="69">
        <f t="shared" si="21"/>
        <v>0</v>
      </c>
    </row>
    <row r="169" spans="2:15" x14ac:dyDescent="0.3">
      <c r="B169" s="67" t="str">
        <f t="shared" si="22"/>
        <v>CO2</v>
      </c>
      <c r="C169" s="50"/>
      <c r="D169" s="57">
        <f t="shared" si="22"/>
        <v>0</v>
      </c>
      <c r="E169" s="57">
        <f t="shared" si="13"/>
        <v>0</v>
      </c>
      <c r="F169" s="57">
        <f t="shared" si="14"/>
        <v>0</v>
      </c>
      <c r="G169" s="57">
        <f t="shared" si="15"/>
        <v>0</v>
      </c>
      <c r="H169" s="57">
        <f t="shared" si="16"/>
        <v>0</v>
      </c>
      <c r="I169" s="57">
        <f t="shared" si="17"/>
        <v>0</v>
      </c>
      <c r="J169" s="57">
        <f t="shared" si="23"/>
        <v>0</v>
      </c>
      <c r="K169" s="57">
        <f t="shared" si="18"/>
        <v>0</v>
      </c>
      <c r="L169" s="57">
        <f t="shared" si="19"/>
        <v>0</v>
      </c>
      <c r="M169" s="57">
        <f t="shared" si="20"/>
        <v>0.99584004992118202</v>
      </c>
      <c r="N169" s="69">
        <f t="shared" si="21"/>
        <v>0</v>
      </c>
    </row>
    <row r="170" spans="2:15" ht="17.25" thickBot="1" x14ac:dyDescent="0.35">
      <c r="B170" s="70" t="str">
        <f t="shared" si="22"/>
        <v>Volume Flow</v>
      </c>
      <c r="C170" s="71" t="str">
        <f t="shared" si="22"/>
        <v>cum/hr</v>
      </c>
      <c r="D170" s="72">
        <f t="shared" si="22"/>
        <v>327437.64971695602</v>
      </c>
      <c r="E170" s="72">
        <f t="shared" si="13"/>
        <v>3502.90289429615</v>
      </c>
      <c r="F170" s="72">
        <f t="shared" si="14"/>
        <v>27389526.075531099</v>
      </c>
      <c r="G170" s="72">
        <f t="shared" si="15"/>
        <v>28557235.373459201</v>
      </c>
      <c r="H170" s="72">
        <f t="shared" si="16"/>
        <v>98.383621473182401</v>
      </c>
      <c r="I170" s="72">
        <f t="shared" si="17"/>
        <v>109.683432849323</v>
      </c>
      <c r="J170" s="72">
        <f t="shared" si="23"/>
        <v>4.4462477291806</v>
      </c>
      <c r="K170" s="72">
        <f t="shared" si="18"/>
        <v>21.7610625336041</v>
      </c>
      <c r="L170" s="72">
        <f t="shared" si="19"/>
        <v>13181.879415298899</v>
      </c>
      <c r="M170" s="72">
        <f t="shared" si="20"/>
        <v>116788.17724538399</v>
      </c>
      <c r="N170" s="73">
        <f t="shared" si="21"/>
        <v>28.5550454362414</v>
      </c>
    </row>
    <row r="172" spans="2:15" ht="21" thickBot="1" x14ac:dyDescent="0.35">
      <c r="B172" s="45"/>
    </row>
    <row r="173" spans="2:15" ht="21" thickBot="1" x14ac:dyDescent="0.35">
      <c r="B173" s="572" t="s">
        <v>651</v>
      </c>
      <c r="C173" s="573"/>
      <c r="D173" s="573"/>
      <c r="E173" s="573"/>
      <c r="F173" s="573"/>
      <c r="G173" s="574"/>
      <c r="I173" s="43" t="s">
        <v>172</v>
      </c>
      <c r="J173" s="46">
        <v>8.8999999999999995E-6</v>
      </c>
      <c r="K173" s="43" t="s">
        <v>173</v>
      </c>
      <c r="L173">
        <f>SUM(L176:L179)</f>
        <v>1106742.9610000001</v>
      </c>
    </row>
    <row r="174" spans="2:15" x14ac:dyDescent="0.3">
      <c r="B174" s="155"/>
      <c r="C174" s="603" t="s">
        <v>176</v>
      </c>
      <c r="D174" s="603"/>
      <c r="E174" s="603" t="s">
        <v>177</v>
      </c>
      <c r="F174" s="603"/>
      <c r="G174" s="149" t="s">
        <v>654</v>
      </c>
      <c r="J174" t="s">
        <v>174</v>
      </c>
      <c r="K174" t="s">
        <v>175</v>
      </c>
      <c r="L174" t="s">
        <v>176</v>
      </c>
      <c r="M174" s="44" t="s">
        <v>177</v>
      </c>
      <c r="N174" t="s">
        <v>178</v>
      </c>
      <c r="O174" t="s">
        <v>179</v>
      </c>
    </row>
    <row r="175" spans="2:15" x14ac:dyDescent="0.3">
      <c r="B175" s="159"/>
      <c r="C175" s="160" t="s">
        <v>647</v>
      </c>
      <c r="D175" s="160" t="s">
        <v>649</v>
      </c>
      <c r="E175" s="160" t="s">
        <v>647</v>
      </c>
      <c r="F175" s="160" t="s">
        <v>649</v>
      </c>
      <c r="G175" s="161" t="s">
        <v>119</v>
      </c>
      <c r="L175" t="s">
        <v>575</v>
      </c>
      <c r="M175" s="44" t="s">
        <v>119</v>
      </c>
      <c r="N175" t="s">
        <v>86</v>
      </c>
      <c r="O175" t="s">
        <v>119</v>
      </c>
    </row>
    <row r="176" spans="2:15" x14ac:dyDescent="0.3">
      <c r="B176" s="145" t="s">
        <v>592</v>
      </c>
      <c r="C176" s="150" t="s">
        <v>650</v>
      </c>
      <c r="D176" s="152">
        <f>SUM(L176:L179)</f>
        <v>1106742.9610000001</v>
      </c>
      <c r="E176" s="153" t="s">
        <v>648</v>
      </c>
      <c r="F176" s="154">
        <f>SUM(M176:M179)</f>
        <v>825311701</v>
      </c>
      <c r="G176" s="137">
        <f>SUM(O176:O179)</f>
        <v>61855.833590000009</v>
      </c>
      <c r="J176" t="s">
        <v>150</v>
      </c>
      <c r="K176" t="s">
        <v>170</v>
      </c>
      <c r="L176">
        <v>860081</v>
      </c>
      <c r="M176" s="44">
        <v>641373000</v>
      </c>
      <c r="N176">
        <v>7654.72</v>
      </c>
      <c r="O176">
        <v>48069.9</v>
      </c>
    </row>
    <row r="177" spans="2:16" x14ac:dyDescent="0.3">
      <c r="B177" s="145" t="s">
        <v>182</v>
      </c>
      <c r="C177" s="150" t="s">
        <v>650</v>
      </c>
      <c r="D177" s="152">
        <f>SUM(L185:L186)</f>
        <v>3447411</v>
      </c>
      <c r="E177" s="153" t="s">
        <v>653</v>
      </c>
      <c r="F177" s="154">
        <f>SUM(M185:M186)</f>
        <v>957613.8</v>
      </c>
      <c r="G177" s="137">
        <f>SUM(O185:O186)</f>
        <v>332198.8</v>
      </c>
      <c r="J177" t="s">
        <v>153</v>
      </c>
      <c r="K177" t="s">
        <v>171</v>
      </c>
      <c r="L177">
        <v>103.661</v>
      </c>
      <c r="M177" s="44">
        <v>77301</v>
      </c>
      <c r="N177">
        <v>0.92257999999999996</v>
      </c>
      <c r="O177">
        <v>5.79359</v>
      </c>
    </row>
    <row r="178" spans="2:16" x14ac:dyDescent="0.3">
      <c r="B178" s="145" t="s">
        <v>184</v>
      </c>
      <c r="C178" s="150" t="s">
        <v>650</v>
      </c>
      <c r="D178" s="152">
        <f>SUM(M191:M192)</f>
        <v>387687000</v>
      </c>
      <c r="E178" s="153" t="s">
        <v>648</v>
      </c>
      <c r="F178" s="154">
        <f>SUM(M191:M192)</f>
        <v>387687000</v>
      </c>
      <c r="G178" s="137">
        <f>SUM(O191:O192)</f>
        <v>0</v>
      </c>
      <c r="J178" t="s">
        <v>125</v>
      </c>
      <c r="K178" t="s">
        <v>171</v>
      </c>
      <c r="L178">
        <v>65429.3</v>
      </c>
      <c r="M178" s="44">
        <v>48791400</v>
      </c>
      <c r="N178">
        <v>582.32100000000003</v>
      </c>
      <c r="O178">
        <v>3656.84</v>
      </c>
    </row>
    <row r="179" spans="2:16" x14ac:dyDescent="0.3">
      <c r="B179" s="310" t="s">
        <v>186</v>
      </c>
      <c r="C179" s="150" t="s">
        <v>650</v>
      </c>
      <c r="D179" s="152">
        <f>SUM(L198)</f>
        <v>4484990</v>
      </c>
      <c r="E179" s="153" t="s">
        <v>648</v>
      </c>
      <c r="F179" s="154">
        <f>SUM(M198)</f>
        <v>2803120</v>
      </c>
      <c r="G179" s="137">
        <f>SUM(O198)</f>
        <v>294901</v>
      </c>
      <c r="J179" t="s">
        <v>155</v>
      </c>
      <c r="K179" t="s">
        <v>171</v>
      </c>
      <c r="L179">
        <v>181129</v>
      </c>
      <c r="M179" s="44">
        <v>135070000</v>
      </c>
      <c r="N179">
        <v>1612.05</v>
      </c>
      <c r="O179">
        <v>10123.299999999999</v>
      </c>
    </row>
    <row r="180" spans="2:16" x14ac:dyDescent="0.3">
      <c r="B180" s="145" t="s">
        <v>594</v>
      </c>
      <c r="C180" s="150" t="s">
        <v>650</v>
      </c>
      <c r="D180" s="152">
        <f>SUM(L203)</f>
        <v>7114.45</v>
      </c>
      <c r="E180" s="153" t="s">
        <v>648</v>
      </c>
      <c r="F180" s="154">
        <f>SUM(M203)</f>
        <v>4505.93</v>
      </c>
      <c r="G180" s="137">
        <f>O203</f>
        <v>467.79599999999999</v>
      </c>
    </row>
    <row r="181" spans="2:16" ht="17.25" thickBot="1" x14ac:dyDescent="0.35">
      <c r="B181" s="146" t="s">
        <v>595</v>
      </c>
      <c r="C181" s="151" t="s">
        <v>650</v>
      </c>
      <c r="D181" s="156">
        <f>SUM(L208:L209)</f>
        <v>287236</v>
      </c>
      <c r="E181" s="157" t="s">
        <v>648</v>
      </c>
      <c r="F181" s="158">
        <f>SUM(M208:M209)</f>
        <v>131045.5</v>
      </c>
      <c r="G181" s="138">
        <f>SUM(O208:O209)</f>
        <v>18886.59</v>
      </c>
    </row>
    <row r="182" spans="2:16" x14ac:dyDescent="0.3">
      <c r="I182" s="43" t="s">
        <v>182</v>
      </c>
      <c r="J182" s="43">
        <v>7.7499999999999999E-2</v>
      </c>
      <c r="K182" s="43" t="s">
        <v>183</v>
      </c>
      <c r="L182" s="44">
        <f>SUM(L185:L186)</f>
        <v>3447411</v>
      </c>
    </row>
    <row r="183" spans="2:16" x14ac:dyDescent="0.3">
      <c r="J183" t="s">
        <v>174</v>
      </c>
      <c r="K183" t="s">
        <v>175</v>
      </c>
      <c r="L183" t="s">
        <v>176</v>
      </c>
      <c r="M183" t="s">
        <v>177</v>
      </c>
      <c r="N183" t="s">
        <v>178</v>
      </c>
      <c r="O183" t="s">
        <v>179</v>
      </c>
    </row>
    <row r="184" spans="2:16" x14ac:dyDescent="0.3">
      <c r="L184" t="s">
        <v>575</v>
      </c>
      <c r="M184" t="s">
        <v>180</v>
      </c>
      <c r="N184" t="s">
        <v>86</v>
      </c>
      <c r="O184" t="s">
        <v>119</v>
      </c>
    </row>
    <row r="185" spans="2:16" x14ac:dyDescent="0.3">
      <c r="J185" t="s">
        <v>146</v>
      </c>
      <c r="K185" t="s">
        <v>181</v>
      </c>
      <c r="L185" s="44">
        <v>3151560</v>
      </c>
      <c r="M185">
        <v>875433</v>
      </c>
      <c r="N185">
        <v>67846.100000000006</v>
      </c>
      <c r="O185">
        <v>303690</v>
      </c>
    </row>
    <row r="186" spans="2:16" x14ac:dyDescent="0.3">
      <c r="J186" t="s">
        <v>149</v>
      </c>
      <c r="K186" t="s">
        <v>181</v>
      </c>
      <c r="L186">
        <v>295851</v>
      </c>
      <c r="M186">
        <v>82180.800000000003</v>
      </c>
      <c r="N186">
        <v>6369.02</v>
      </c>
      <c r="O186">
        <v>28508.799999999999</v>
      </c>
    </row>
    <row r="188" spans="2:16" x14ac:dyDescent="0.3">
      <c r="I188" s="43" t="s">
        <v>184</v>
      </c>
      <c r="J188" s="46">
        <v>2.1199999999999999E-7</v>
      </c>
      <c r="K188" s="43" t="s">
        <v>173</v>
      </c>
      <c r="L188" s="44">
        <f>SUM(L191:L192)</f>
        <v>8093260</v>
      </c>
    </row>
    <row r="189" spans="2:16" x14ac:dyDescent="0.3">
      <c r="J189" t="s">
        <v>174</v>
      </c>
      <c r="K189" t="s">
        <v>175</v>
      </c>
      <c r="L189" t="s">
        <v>176</v>
      </c>
      <c r="M189" t="s">
        <v>177</v>
      </c>
      <c r="N189" t="s">
        <v>178</v>
      </c>
      <c r="O189" t="s">
        <v>179</v>
      </c>
    </row>
    <row r="190" spans="2:16" x14ac:dyDescent="0.3">
      <c r="L190" t="s">
        <v>575</v>
      </c>
      <c r="M190" t="s">
        <v>119</v>
      </c>
      <c r="N190" t="s">
        <v>86</v>
      </c>
    </row>
    <row r="191" spans="2:16" x14ac:dyDescent="0.3">
      <c r="J191" t="s">
        <v>147</v>
      </c>
      <c r="K191" t="s">
        <v>170</v>
      </c>
      <c r="L191" s="44">
        <v>3160320</v>
      </c>
      <c r="M191" s="44">
        <v>151387000</v>
      </c>
      <c r="N191">
        <v>669.98800000000006</v>
      </c>
      <c r="P191" s="44"/>
    </row>
    <row r="192" spans="2:16" x14ac:dyDescent="0.3">
      <c r="J192" t="s">
        <v>145</v>
      </c>
      <c r="K192" t="s">
        <v>170</v>
      </c>
      <c r="L192" s="44">
        <v>4932940</v>
      </c>
      <c r="M192" s="44">
        <v>236300000</v>
      </c>
      <c r="N192">
        <v>1045.78</v>
      </c>
    </row>
    <row r="193" spans="8:17" x14ac:dyDescent="0.3">
      <c r="M193" s="44"/>
    </row>
    <row r="195" spans="8:17" x14ac:dyDescent="0.3">
      <c r="H195" s="180">
        <f>J195/J200</f>
        <v>2.536</v>
      </c>
      <c r="I195" s="43" t="s">
        <v>186</v>
      </c>
      <c r="J195" s="46">
        <v>6.3400000000000003E-6</v>
      </c>
      <c r="K195" s="43" t="s">
        <v>173</v>
      </c>
      <c r="L195" s="44">
        <f>SUM(L198)</f>
        <v>4484990</v>
      </c>
    </row>
    <row r="196" spans="8:17" x14ac:dyDescent="0.3">
      <c r="J196" t="s">
        <v>174</v>
      </c>
      <c r="K196" t="s">
        <v>175</v>
      </c>
      <c r="L196" t="s">
        <v>176</v>
      </c>
      <c r="M196" t="s">
        <v>177</v>
      </c>
      <c r="N196" t="s">
        <v>178</v>
      </c>
      <c r="O196" t="s">
        <v>179</v>
      </c>
    </row>
    <row r="197" spans="8:17" x14ac:dyDescent="0.3">
      <c r="L197" t="s">
        <v>575</v>
      </c>
      <c r="M197" t="s">
        <v>119</v>
      </c>
      <c r="N197" t="s">
        <v>86</v>
      </c>
      <c r="O197" t="s">
        <v>119</v>
      </c>
    </row>
    <row r="198" spans="8:17" x14ac:dyDescent="0.3">
      <c r="J198" t="s">
        <v>143</v>
      </c>
      <c r="K198" t="s">
        <v>170</v>
      </c>
      <c r="L198" s="44">
        <v>4484990</v>
      </c>
      <c r="M198" s="44">
        <v>2803120</v>
      </c>
      <c r="N198">
        <v>28434.799999999999</v>
      </c>
      <c r="O198">
        <v>294901</v>
      </c>
    </row>
    <row r="200" spans="8:17" x14ac:dyDescent="0.3">
      <c r="H200" s="180">
        <f>J200/J205</f>
        <v>1.3157894736842106</v>
      </c>
      <c r="I200" s="43" t="s">
        <v>185</v>
      </c>
      <c r="J200" s="46">
        <v>2.5000000000000002E-6</v>
      </c>
      <c r="K200" s="43" t="s">
        <v>173</v>
      </c>
      <c r="L200">
        <f>SUM(L203)</f>
        <v>7114.45</v>
      </c>
    </row>
    <row r="201" spans="8:17" x14ac:dyDescent="0.3">
      <c r="J201" t="s">
        <v>174</v>
      </c>
      <c r="K201" t="s">
        <v>175</v>
      </c>
      <c r="L201" t="s">
        <v>176</v>
      </c>
      <c r="M201" t="s">
        <v>177</v>
      </c>
      <c r="N201" t="s">
        <v>178</v>
      </c>
      <c r="O201" t="s">
        <v>179</v>
      </c>
    </row>
    <row r="202" spans="8:17" x14ac:dyDescent="0.3">
      <c r="L202" t="s">
        <v>575</v>
      </c>
      <c r="M202" t="s">
        <v>119</v>
      </c>
      <c r="N202" t="s">
        <v>86</v>
      </c>
      <c r="O202" t="s">
        <v>119</v>
      </c>
    </row>
    <row r="203" spans="8:17" x14ac:dyDescent="0.3">
      <c r="J203" t="s">
        <v>153</v>
      </c>
      <c r="K203" t="s">
        <v>171</v>
      </c>
      <c r="L203">
        <v>7114.45</v>
      </c>
      <c r="M203">
        <v>4505.93</v>
      </c>
      <c r="N203">
        <v>17.786100000000001</v>
      </c>
      <c r="O203">
        <v>467.79599999999999</v>
      </c>
    </row>
    <row r="205" spans="8:17" x14ac:dyDescent="0.3">
      <c r="I205" s="43" t="s">
        <v>187</v>
      </c>
      <c r="J205" s="46">
        <v>1.9E-6</v>
      </c>
      <c r="K205" s="43" t="s">
        <v>173</v>
      </c>
      <c r="L205">
        <f>SUM(L208:L209)</f>
        <v>287236</v>
      </c>
      <c r="Q205" s="44"/>
    </row>
    <row r="206" spans="8:17" x14ac:dyDescent="0.3">
      <c r="J206" t="s">
        <v>174</v>
      </c>
      <c r="K206" t="s">
        <v>175</v>
      </c>
      <c r="L206" t="s">
        <v>176</v>
      </c>
      <c r="M206" t="s">
        <v>177</v>
      </c>
      <c r="N206" t="s">
        <v>178</v>
      </c>
      <c r="O206" t="s">
        <v>179</v>
      </c>
    </row>
    <row r="207" spans="8:17" x14ac:dyDescent="0.3">
      <c r="L207" t="s">
        <v>575</v>
      </c>
      <c r="M207" t="s">
        <v>119</v>
      </c>
      <c r="N207" t="s">
        <v>86</v>
      </c>
      <c r="O207" t="s">
        <v>119</v>
      </c>
    </row>
    <row r="208" spans="8:17" x14ac:dyDescent="0.3">
      <c r="J208" t="s">
        <v>125</v>
      </c>
      <c r="K208" t="s">
        <v>171</v>
      </c>
      <c r="L208">
        <v>126642</v>
      </c>
      <c r="M208">
        <v>57777.9</v>
      </c>
      <c r="N208">
        <v>240.62</v>
      </c>
      <c r="O208">
        <v>8327.09</v>
      </c>
    </row>
    <row r="209" spans="8:15" x14ac:dyDescent="0.3">
      <c r="J209" t="s">
        <v>155</v>
      </c>
      <c r="K209" t="s">
        <v>171</v>
      </c>
      <c r="L209">
        <v>160594</v>
      </c>
      <c r="M209">
        <v>73267.600000000006</v>
      </c>
      <c r="N209">
        <v>305.12799999999999</v>
      </c>
      <c r="O209">
        <v>10559.5</v>
      </c>
    </row>
    <row r="210" spans="8:15" x14ac:dyDescent="0.3">
      <c r="M210">
        <f>SUM(M208:M209)/1000</f>
        <v>131.0455</v>
      </c>
    </row>
    <row r="219" spans="8:15" x14ac:dyDescent="0.3">
      <c r="H219" t="s">
        <v>652</v>
      </c>
    </row>
  </sheetData>
  <mergeCells count="4">
    <mergeCell ref="B116:N116"/>
    <mergeCell ref="C174:D174"/>
    <mergeCell ref="E174:F174"/>
    <mergeCell ref="B173:G173"/>
  </mergeCells>
  <phoneticPr fontId="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"/>
  <sheetViews>
    <sheetView topLeftCell="A16" workbookViewId="0">
      <selection activeCell="B8" sqref="B8"/>
    </sheetView>
  </sheetViews>
  <sheetFormatPr defaultRowHeight="16.5" x14ac:dyDescent="0.3"/>
  <cols>
    <col min="1" max="1" width="33.125" customWidth="1"/>
    <col min="2" max="2" width="42.5" customWidth="1"/>
  </cols>
  <sheetData>
    <row r="1" spans="1:3" x14ac:dyDescent="0.3">
      <c r="B1" t="s">
        <v>188</v>
      </c>
    </row>
    <row r="2" spans="1:3" x14ac:dyDescent="0.3">
      <c r="A2" t="s">
        <v>189</v>
      </c>
    </row>
    <row r="4" spans="1:3" x14ac:dyDescent="0.3">
      <c r="A4" t="s">
        <v>190</v>
      </c>
      <c r="B4" t="s">
        <v>191</v>
      </c>
    </row>
    <row r="6" spans="1:3" x14ac:dyDescent="0.3">
      <c r="A6" t="s">
        <v>192</v>
      </c>
      <c r="B6" t="s">
        <v>596</v>
      </c>
    </row>
    <row r="8" spans="1:3" x14ac:dyDescent="0.3">
      <c r="A8" t="s">
        <v>193</v>
      </c>
      <c r="B8" t="s">
        <v>194</v>
      </c>
    </row>
    <row r="10" spans="1:3" x14ac:dyDescent="0.3">
      <c r="A10" t="s">
        <v>195</v>
      </c>
      <c r="B10">
        <v>1</v>
      </c>
    </row>
    <row r="14" spans="1:3" x14ac:dyDescent="0.3">
      <c r="A14" t="s">
        <v>196</v>
      </c>
      <c r="B14" t="s">
        <v>197</v>
      </c>
    </row>
    <row r="15" spans="1:3" x14ac:dyDescent="0.3">
      <c r="A15" t="s">
        <v>198</v>
      </c>
      <c r="B15" s="47">
        <v>42370</v>
      </c>
    </row>
    <row r="16" spans="1:3" x14ac:dyDescent="0.3">
      <c r="A16" t="s">
        <v>199</v>
      </c>
      <c r="B16">
        <v>96</v>
      </c>
      <c r="C16" t="s">
        <v>200</v>
      </c>
    </row>
    <row r="17" spans="1:3" x14ac:dyDescent="0.3">
      <c r="A17" t="s">
        <v>201</v>
      </c>
      <c r="B17" t="s">
        <v>597</v>
      </c>
    </row>
    <row r="18" spans="1:3" x14ac:dyDescent="0.3">
      <c r="A18" t="s">
        <v>202</v>
      </c>
      <c r="B18">
        <v>20</v>
      </c>
      <c r="C18" t="s">
        <v>200</v>
      </c>
    </row>
    <row r="21" spans="1:3" x14ac:dyDescent="0.3">
      <c r="A21" t="s">
        <v>203</v>
      </c>
      <c r="B21" t="s">
        <v>197</v>
      </c>
    </row>
    <row r="22" spans="1:3" x14ac:dyDescent="0.3">
      <c r="A22" t="s">
        <v>204</v>
      </c>
      <c r="B22">
        <v>1</v>
      </c>
      <c r="C22" t="s">
        <v>205</v>
      </c>
    </row>
    <row r="23" spans="1:3" x14ac:dyDescent="0.3">
      <c r="A23" t="s">
        <v>206</v>
      </c>
      <c r="B23" s="48">
        <v>203444430.09</v>
      </c>
      <c r="C23" t="s">
        <v>207</v>
      </c>
    </row>
    <row r="24" spans="1:3" x14ac:dyDescent="0.3">
      <c r="A24" t="s">
        <v>208</v>
      </c>
      <c r="B24" s="48">
        <v>397026510.25</v>
      </c>
      <c r="C24" t="s">
        <v>209</v>
      </c>
    </row>
    <row r="25" spans="1:3" x14ac:dyDescent="0.3">
      <c r="A25" t="s">
        <v>210</v>
      </c>
      <c r="B25" s="48">
        <v>14880094.279999999</v>
      </c>
      <c r="C25" t="s">
        <v>209</v>
      </c>
    </row>
    <row r="26" spans="1:3" x14ac:dyDescent="0.3">
      <c r="A26" t="s">
        <v>211</v>
      </c>
      <c r="B26" s="48">
        <v>348437044.83999997</v>
      </c>
      <c r="C26" t="s">
        <v>209</v>
      </c>
    </row>
    <row r="27" spans="1:3" x14ac:dyDescent="0.3">
      <c r="A27" t="s">
        <v>212</v>
      </c>
      <c r="B27" s="48">
        <v>1009148872</v>
      </c>
      <c r="C27" t="s">
        <v>209</v>
      </c>
    </row>
    <row r="28" spans="1:3" x14ac:dyDescent="0.3">
      <c r="A28" t="s">
        <v>213</v>
      </c>
      <c r="B28">
        <v>8</v>
      </c>
      <c r="C28" t="s">
        <v>214</v>
      </c>
    </row>
    <row r="29" spans="1:3" x14ac:dyDescent="0.3">
      <c r="A29" t="s">
        <v>215</v>
      </c>
      <c r="B29">
        <v>3.04</v>
      </c>
      <c r="C29" t="s">
        <v>216</v>
      </c>
    </row>
    <row r="31" spans="1:3" x14ac:dyDescent="0.3">
      <c r="A31" t="s">
        <v>217</v>
      </c>
      <c r="B31" t="s">
        <v>197</v>
      </c>
    </row>
    <row r="32" spans="1:3" x14ac:dyDescent="0.3">
      <c r="A32" t="s">
        <v>218</v>
      </c>
      <c r="B32" t="s">
        <v>219</v>
      </c>
    </row>
    <row r="33" spans="1:2" x14ac:dyDescent="0.3">
      <c r="A33" t="s">
        <v>220</v>
      </c>
    </row>
    <row r="34" spans="1:2" x14ac:dyDescent="0.3">
      <c r="A34" t="s">
        <v>221</v>
      </c>
      <c r="B34" t="s">
        <v>598</v>
      </c>
    </row>
    <row r="35" spans="1:2" x14ac:dyDescent="0.3">
      <c r="A35" t="s">
        <v>222</v>
      </c>
      <c r="B35" t="s">
        <v>599</v>
      </c>
    </row>
    <row r="37" spans="1:2" x14ac:dyDescent="0.3">
      <c r="A37" t="s">
        <v>223</v>
      </c>
      <c r="B37" t="s">
        <v>224</v>
      </c>
    </row>
    <row r="38" spans="1:2" x14ac:dyDescent="0.3">
      <c r="A38" t="s">
        <v>220</v>
      </c>
      <c r="B38" t="s">
        <v>225</v>
      </c>
    </row>
    <row r="39" spans="1:2" x14ac:dyDescent="0.3">
      <c r="A39" t="s">
        <v>226</v>
      </c>
      <c r="B39" t="s">
        <v>227</v>
      </c>
    </row>
    <row r="40" spans="1:2" x14ac:dyDescent="0.3">
      <c r="A40" t="s">
        <v>228</v>
      </c>
      <c r="B40" t="s">
        <v>558</v>
      </c>
    </row>
    <row r="41" spans="1:2" x14ac:dyDescent="0.3">
      <c r="A41" t="s">
        <v>229</v>
      </c>
      <c r="B41" t="s">
        <v>600</v>
      </c>
    </row>
    <row r="42" spans="1:2" x14ac:dyDescent="0.3">
      <c r="A42" t="s">
        <v>230</v>
      </c>
      <c r="B42" t="s">
        <v>231</v>
      </c>
    </row>
    <row r="43" spans="1:2" x14ac:dyDescent="0.3">
      <c r="A43" t="s">
        <v>232</v>
      </c>
      <c r="B43" t="s">
        <v>233</v>
      </c>
    </row>
    <row r="44" spans="1:2" x14ac:dyDescent="0.3">
      <c r="A44" t="s">
        <v>234</v>
      </c>
      <c r="B44" t="s">
        <v>235</v>
      </c>
    </row>
    <row r="45" spans="1:2" x14ac:dyDescent="0.3">
      <c r="A45" t="s">
        <v>236</v>
      </c>
      <c r="B45" t="s">
        <v>601</v>
      </c>
    </row>
    <row r="47" spans="1:2" x14ac:dyDescent="0.3">
      <c r="A47" t="s">
        <v>237</v>
      </c>
      <c r="B47" t="s">
        <v>197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3"/>
  <sheetViews>
    <sheetView topLeftCell="A73" workbookViewId="0">
      <selection activeCell="A53" sqref="A53"/>
    </sheetView>
  </sheetViews>
  <sheetFormatPr defaultRowHeight="16.5" x14ac:dyDescent="0.3"/>
  <cols>
    <col min="1" max="1" width="49.25" customWidth="1"/>
    <col min="2" max="2" width="17.5" bestFit="1" customWidth="1"/>
    <col min="3" max="3" width="21.25" customWidth="1"/>
    <col min="5" max="5" width="13.875" bestFit="1" customWidth="1"/>
  </cols>
  <sheetData>
    <row r="1" spans="1:3" x14ac:dyDescent="0.3">
      <c r="A1" t="s">
        <v>238</v>
      </c>
    </row>
    <row r="3" spans="1:3" x14ac:dyDescent="0.3">
      <c r="A3" t="s">
        <v>239</v>
      </c>
      <c r="B3" t="s">
        <v>240</v>
      </c>
      <c r="C3" t="s">
        <v>241</v>
      </c>
    </row>
    <row r="4" spans="1:3" x14ac:dyDescent="0.3">
      <c r="A4" t="s">
        <v>242</v>
      </c>
    </row>
    <row r="6" spans="1:3" x14ac:dyDescent="0.3">
      <c r="A6" t="s">
        <v>243</v>
      </c>
    </row>
    <row r="8" spans="1:3" x14ac:dyDescent="0.3">
      <c r="A8" t="s">
        <v>244</v>
      </c>
      <c r="C8" t="s">
        <v>191</v>
      </c>
    </row>
    <row r="9" spans="1:3" x14ac:dyDescent="0.3">
      <c r="A9" t="s">
        <v>245</v>
      </c>
      <c r="C9">
        <v>1</v>
      </c>
    </row>
    <row r="10" spans="1:3" x14ac:dyDescent="0.3">
      <c r="A10" t="s">
        <v>246</v>
      </c>
      <c r="C10" t="s">
        <v>600</v>
      </c>
    </row>
    <row r="11" spans="1:3" x14ac:dyDescent="0.3">
      <c r="A11" t="s">
        <v>247</v>
      </c>
      <c r="C11" t="s">
        <v>219</v>
      </c>
    </row>
    <row r="12" spans="1:3" x14ac:dyDescent="0.3">
      <c r="A12" t="s">
        <v>248</v>
      </c>
    </row>
    <row r="13" spans="1:3" x14ac:dyDescent="0.3">
      <c r="A13" t="s">
        <v>249</v>
      </c>
      <c r="C13" t="s">
        <v>598</v>
      </c>
    </row>
    <row r="14" spans="1:3" x14ac:dyDescent="0.3">
      <c r="A14" t="s">
        <v>250</v>
      </c>
      <c r="C14" t="s">
        <v>599</v>
      </c>
    </row>
    <row r="15" spans="1:3" x14ac:dyDescent="0.3">
      <c r="A15" t="s">
        <v>251</v>
      </c>
      <c r="C15" t="s">
        <v>224</v>
      </c>
    </row>
    <row r="16" spans="1:3" x14ac:dyDescent="0.3">
      <c r="A16" t="s">
        <v>252</v>
      </c>
      <c r="C16" t="s">
        <v>225</v>
      </c>
    </row>
    <row r="17" spans="1:3" x14ac:dyDescent="0.3">
      <c r="A17" t="s">
        <v>253</v>
      </c>
      <c r="C17" t="s">
        <v>558</v>
      </c>
    </row>
    <row r="18" spans="1:3" x14ac:dyDescent="0.3">
      <c r="A18" t="s">
        <v>254</v>
      </c>
      <c r="C18">
        <v>1</v>
      </c>
    </row>
    <row r="19" spans="1:3" x14ac:dyDescent="0.3">
      <c r="A19" t="s">
        <v>255</v>
      </c>
      <c r="C19" t="s">
        <v>602</v>
      </c>
    </row>
    <row r="20" spans="1:3" x14ac:dyDescent="0.3">
      <c r="A20" t="s">
        <v>242</v>
      </c>
    </row>
    <row r="21" spans="1:3" x14ac:dyDescent="0.3">
      <c r="A21" t="s">
        <v>256</v>
      </c>
    </row>
    <row r="23" spans="1:3" x14ac:dyDescent="0.3">
      <c r="A23" t="s">
        <v>257</v>
      </c>
      <c r="C23" s="47">
        <v>43726</v>
      </c>
    </row>
    <row r="24" spans="1:3" x14ac:dyDescent="0.3">
      <c r="A24" t="s">
        <v>258</v>
      </c>
      <c r="C24" t="s">
        <v>231</v>
      </c>
    </row>
    <row r="25" spans="1:3" x14ac:dyDescent="0.3">
      <c r="A25" t="s">
        <v>259</v>
      </c>
      <c r="C25" t="s">
        <v>260</v>
      </c>
    </row>
    <row r="26" spans="1:3" x14ac:dyDescent="0.3">
      <c r="A26" t="s">
        <v>261</v>
      </c>
      <c r="C26" t="s">
        <v>262</v>
      </c>
    </row>
    <row r="27" spans="1:3" x14ac:dyDescent="0.3">
      <c r="A27" t="s">
        <v>263</v>
      </c>
      <c r="B27" t="s">
        <v>205</v>
      </c>
      <c r="C27">
        <v>1</v>
      </c>
    </row>
    <row r="28" spans="1:3" x14ac:dyDescent="0.3">
      <c r="A28" t="s">
        <v>264</v>
      </c>
      <c r="C28" t="s">
        <v>227</v>
      </c>
    </row>
    <row r="29" spans="1:3" x14ac:dyDescent="0.3">
      <c r="A29" t="s">
        <v>265</v>
      </c>
      <c r="C29" t="s">
        <v>233</v>
      </c>
    </row>
    <row r="30" spans="1:3" x14ac:dyDescent="0.3">
      <c r="A30" t="s">
        <v>266</v>
      </c>
      <c r="C30" t="s">
        <v>235</v>
      </c>
    </row>
    <row r="31" spans="1:3" x14ac:dyDescent="0.3">
      <c r="A31" t="s">
        <v>267</v>
      </c>
      <c r="C31" t="s">
        <v>601</v>
      </c>
    </row>
    <row r="32" spans="1:3" x14ac:dyDescent="0.3">
      <c r="A32" t="s">
        <v>268</v>
      </c>
      <c r="C32" t="s">
        <v>194</v>
      </c>
    </row>
    <row r="33" spans="1:3" x14ac:dyDescent="0.3">
      <c r="A33" t="s">
        <v>269</v>
      </c>
      <c r="C33" t="s">
        <v>596</v>
      </c>
    </row>
    <row r="34" spans="1:3" x14ac:dyDescent="0.3">
      <c r="A34" t="s">
        <v>270</v>
      </c>
      <c r="B34" t="s">
        <v>271</v>
      </c>
      <c r="C34">
        <v>-90</v>
      </c>
    </row>
    <row r="35" spans="1:3" x14ac:dyDescent="0.3">
      <c r="A35" t="s">
        <v>272</v>
      </c>
      <c r="C35" t="s">
        <v>273</v>
      </c>
    </row>
    <row r="36" spans="1:3" x14ac:dyDescent="0.3">
      <c r="A36" t="s">
        <v>274</v>
      </c>
      <c r="C36" t="s">
        <v>275</v>
      </c>
    </row>
    <row r="37" spans="1:3" x14ac:dyDescent="0.3">
      <c r="A37" t="s">
        <v>276</v>
      </c>
      <c r="C37" t="s">
        <v>207</v>
      </c>
    </row>
    <row r="39" spans="1:3" x14ac:dyDescent="0.3">
      <c r="A39" t="s">
        <v>242</v>
      </c>
    </row>
    <row r="41" spans="1:3" x14ac:dyDescent="0.3">
      <c r="A41" t="s">
        <v>277</v>
      </c>
    </row>
    <row r="43" spans="1:3" x14ac:dyDescent="0.3">
      <c r="A43" t="s">
        <v>278</v>
      </c>
      <c r="C43" t="s">
        <v>216</v>
      </c>
    </row>
    <row r="44" spans="1:3" x14ac:dyDescent="0.3">
      <c r="A44" t="s">
        <v>279</v>
      </c>
      <c r="B44" t="s">
        <v>280</v>
      </c>
      <c r="C44" s="48">
        <v>8000</v>
      </c>
    </row>
    <row r="45" spans="1:3" x14ac:dyDescent="0.3">
      <c r="A45" t="s">
        <v>281</v>
      </c>
      <c r="B45" t="s">
        <v>282</v>
      </c>
      <c r="C45">
        <v>52</v>
      </c>
    </row>
    <row r="46" spans="1:3" x14ac:dyDescent="0.3">
      <c r="A46" t="s">
        <v>283</v>
      </c>
      <c r="B46" t="s">
        <v>284</v>
      </c>
      <c r="C46">
        <v>30</v>
      </c>
    </row>
    <row r="57" spans="1:3" x14ac:dyDescent="0.3">
      <c r="A57" t="s">
        <v>242</v>
      </c>
    </row>
    <row r="59" spans="1:3" x14ac:dyDescent="0.3">
      <c r="A59" t="s">
        <v>285</v>
      </c>
    </row>
    <row r="61" spans="1:3" x14ac:dyDescent="0.3">
      <c r="A61" t="s">
        <v>286</v>
      </c>
      <c r="C61" s="47">
        <v>42370</v>
      </c>
    </row>
    <row r="62" spans="1:3" x14ac:dyDescent="0.3">
      <c r="A62" t="s">
        <v>287</v>
      </c>
      <c r="B62" t="s">
        <v>200</v>
      </c>
      <c r="C62">
        <v>96</v>
      </c>
    </row>
    <row r="63" spans="1:3" x14ac:dyDescent="0.3">
      <c r="A63" t="s">
        <v>288</v>
      </c>
      <c r="B63" t="s">
        <v>200</v>
      </c>
      <c r="C63">
        <v>20</v>
      </c>
    </row>
    <row r="64" spans="1:3" x14ac:dyDescent="0.3">
      <c r="A64" t="s">
        <v>289</v>
      </c>
      <c r="B64" t="s">
        <v>200</v>
      </c>
      <c r="C64">
        <v>62</v>
      </c>
    </row>
    <row r="65" spans="1:3" x14ac:dyDescent="0.3">
      <c r="A65" t="s">
        <v>290</v>
      </c>
      <c r="C65" t="s">
        <v>597</v>
      </c>
    </row>
    <row r="75" spans="1:3" x14ac:dyDescent="0.3">
      <c r="A75" t="s">
        <v>242</v>
      </c>
    </row>
    <row r="77" spans="1:3" x14ac:dyDescent="0.3">
      <c r="A77" t="s">
        <v>291</v>
      </c>
    </row>
    <row r="79" spans="1:3" x14ac:dyDescent="0.3">
      <c r="A79" t="s">
        <v>292</v>
      </c>
      <c r="B79" t="s">
        <v>293</v>
      </c>
      <c r="C79">
        <v>5</v>
      </c>
    </row>
    <row r="91" spans="1:3" x14ac:dyDescent="0.3">
      <c r="A91" t="s">
        <v>242</v>
      </c>
    </row>
    <row r="93" spans="1:3" x14ac:dyDescent="0.3">
      <c r="A93" t="s">
        <v>294</v>
      </c>
    </row>
    <row r="95" spans="1:3" x14ac:dyDescent="0.3">
      <c r="A95" t="s">
        <v>295</v>
      </c>
      <c r="B95" t="s">
        <v>296</v>
      </c>
      <c r="C95">
        <v>0</v>
      </c>
    </row>
    <row r="96" spans="1:3" x14ac:dyDescent="0.3">
      <c r="A96" t="s">
        <v>297</v>
      </c>
      <c r="B96" t="s">
        <v>296</v>
      </c>
      <c r="C96">
        <v>0</v>
      </c>
    </row>
    <row r="97" spans="1:3" x14ac:dyDescent="0.3">
      <c r="A97" t="s">
        <v>298</v>
      </c>
      <c r="B97" t="s">
        <v>293</v>
      </c>
      <c r="C97">
        <v>25</v>
      </c>
    </row>
    <row r="98" spans="1:3" x14ac:dyDescent="0.3">
      <c r="A98" t="s">
        <v>299</v>
      </c>
      <c r="B98" t="s">
        <v>293</v>
      </c>
      <c r="C98">
        <v>25</v>
      </c>
    </row>
    <row r="99" spans="1:3" x14ac:dyDescent="0.3">
      <c r="A99" t="s">
        <v>300</v>
      </c>
      <c r="B99" t="s">
        <v>293</v>
      </c>
      <c r="C99">
        <v>50</v>
      </c>
    </row>
    <row r="100" spans="1:3" x14ac:dyDescent="0.3">
      <c r="A100" t="s">
        <v>301</v>
      </c>
      <c r="B100" t="s">
        <v>293</v>
      </c>
      <c r="C100">
        <v>8</v>
      </c>
    </row>
    <row r="108" spans="1:3" x14ac:dyDescent="0.3">
      <c r="A108" t="s">
        <v>242</v>
      </c>
    </row>
    <row r="110" spans="1:3" x14ac:dyDescent="0.3">
      <c r="A110" t="s">
        <v>302</v>
      </c>
    </row>
    <row r="112" spans="1:3" x14ac:dyDescent="0.3">
      <c r="A112" t="s">
        <v>303</v>
      </c>
      <c r="B112" t="s">
        <v>293</v>
      </c>
      <c r="C112">
        <v>35</v>
      </c>
    </row>
    <row r="113" spans="1:3" x14ac:dyDescent="0.3">
      <c r="A113" t="s">
        <v>304</v>
      </c>
      <c r="B113" t="s">
        <v>293</v>
      </c>
      <c r="C113">
        <v>8</v>
      </c>
    </row>
    <row r="114" spans="1:3" x14ac:dyDescent="0.3">
      <c r="A114" t="s">
        <v>305</v>
      </c>
      <c r="B114" t="s">
        <v>284</v>
      </c>
      <c r="C114">
        <v>30</v>
      </c>
    </row>
    <row r="115" spans="1:3" x14ac:dyDescent="0.3">
      <c r="A115" t="s">
        <v>306</v>
      </c>
      <c r="B115" t="s">
        <v>307</v>
      </c>
      <c r="C115">
        <v>20</v>
      </c>
    </row>
    <row r="116" spans="1:3" x14ac:dyDescent="0.3">
      <c r="A116" t="s">
        <v>308</v>
      </c>
      <c r="C116" t="s">
        <v>309</v>
      </c>
    </row>
    <row r="128" spans="1:3" x14ac:dyDescent="0.3">
      <c r="A128" t="s">
        <v>242</v>
      </c>
    </row>
    <row r="130" spans="1:3" x14ac:dyDescent="0.3">
      <c r="A130" t="s">
        <v>310</v>
      </c>
    </row>
    <row r="132" spans="1:3" x14ac:dyDescent="0.3">
      <c r="A132" t="s">
        <v>311</v>
      </c>
      <c r="B132" t="s">
        <v>293</v>
      </c>
      <c r="C132">
        <v>5</v>
      </c>
    </row>
    <row r="133" spans="1:3" x14ac:dyDescent="0.3">
      <c r="A133" t="s">
        <v>312</v>
      </c>
      <c r="B133" t="s">
        <v>293</v>
      </c>
      <c r="C133">
        <v>5</v>
      </c>
    </row>
    <row r="134" spans="1:3" x14ac:dyDescent="0.3">
      <c r="A134" t="s">
        <v>313</v>
      </c>
      <c r="B134" t="s">
        <v>293</v>
      </c>
      <c r="C134">
        <v>3.5</v>
      </c>
    </row>
    <row r="135" spans="1:3" x14ac:dyDescent="0.3">
      <c r="A135" t="s">
        <v>314</v>
      </c>
      <c r="B135" t="s">
        <v>293</v>
      </c>
      <c r="C135">
        <v>3</v>
      </c>
    </row>
    <row r="136" spans="1:3" x14ac:dyDescent="0.3">
      <c r="A136" t="s">
        <v>315</v>
      </c>
      <c r="B136" t="s">
        <v>293</v>
      </c>
      <c r="C136">
        <v>3</v>
      </c>
    </row>
    <row r="148" spans="1:3" x14ac:dyDescent="0.3">
      <c r="A148" t="s">
        <v>242</v>
      </c>
    </row>
    <row r="150" spans="1:3" x14ac:dyDescent="0.3">
      <c r="A150" t="s">
        <v>316</v>
      </c>
    </row>
    <row r="152" spans="1:3" x14ac:dyDescent="0.3">
      <c r="A152" t="s">
        <v>317</v>
      </c>
      <c r="B152" t="s">
        <v>178</v>
      </c>
      <c r="C152" s="48">
        <v>203444430.09</v>
      </c>
    </row>
    <row r="153" spans="1:3" x14ac:dyDescent="0.3">
      <c r="A153" t="s">
        <v>318</v>
      </c>
      <c r="B153" t="s">
        <v>296</v>
      </c>
      <c r="C153" s="48">
        <v>14880094.279999999</v>
      </c>
    </row>
    <row r="154" spans="1:3" x14ac:dyDescent="0.3">
      <c r="A154" t="s">
        <v>319</v>
      </c>
      <c r="B154" t="s">
        <v>296</v>
      </c>
      <c r="C154" s="48">
        <v>1009148872</v>
      </c>
    </row>
    <row r="155" spans="1:3" x14ac:dyDescent="0.3">
      <c r="A155" t="s">
        <v>320</v>
      </c>
      <c r="B155" t="s">
        <v>296</v>
      </c>
      <c r="C155" s="48">
        <v>2740000</v>
      </c>
    </row>
    <row r="156" spans="1:3" x14ac:dyDescent="0.3">
      <c r="A156" t="s">
        <v>321</v>
      </c>
      <c r="B156" t="s">
        <v>296</v>
      </c>
      <c r="C156" s="48">
        <v>348437044.83999997</v>
      </c>
    </row>
    <row r="157" spans="1:3" x14ac:dyDescent="0.3">
      <c r="A157" t="s">
        <v>322</v>
      </c>
      <c r="B157" t="s">
        <v>296</v>
      </c>
      <c r="C157" s="48">
        <v>397026510.25</v>
      </c>
    </row>
    <row r="159" spans="1:3" x14ac:dyDescent="0.3">
      <c r="A159" t="s">
        <v>323</v>
      </c>
      <c r="B159" t="s">
        <v>296</v>
      </c>
      <c r="C159" s="48">
        <v>760000</v>
      </c>
    </row>
    <row r="160" spans="1:3" x14ac:dyDescent="0.3">
      <c r="A160" t="s">
        <v>324</v>
      </c>
      <c r="B160" t="s">
        <v>296</v>
      </c>
      <c r="C160" s="48">
        <v>1980000</v>
      </c>
    </row>
    <row r="161" spans="1:8" x14ac:dyDescent="0.3">
      <c r="A161" t="s">
        <v>325</v>
      </c>
      <c r="B161" t="s">
        <v>296</v>
      </c>
      <c r="C161" s="48">
        <v>190000</v>
      </c>
    </row>
    <row r="162" spans="1:8" x14ac:dyDescent="0.3">
      <c r="A162" t="s">
        <v>326</v>
      </c>
      <c r="B162" t="s">
        <v>296</v>
      </c>
      <c r="C162" s="48">
        <v>1370000</v>
      </c>
    </row>
    <row r="163" spans="1:8" x14ac:dyDescent="0.3">
      <c r="A163" t="s">
        <v>327</v>
      </c>
      <c r="B163" t="s">
        <v>296</v>
      </c>
      <c r="C163" s="48">
        <v>367617139.12</v>
      </c>
      <c r="E163" s="48">
        <f>SUM(C159:C162)+C156+C155</f>
        <v>355477044.83999997</v>
      </c>
    </row>
    <row r="164" spans="1:8" x14ac:dyDescent="0.3">
      <c r="A164" t="s">
        <v>328</v>
      </c>
      <c r="C164" s="48">
        <v>29409371.129999999</v>
      </c>
    </row>
    <row r="168" spans="1:8" x14ac:dyDescent="0.3">
      <c r="A168" t="s">
        <v>242</v>
      </c>
    </row>
    <row r="170" spans="1:8" x14ac:dyDescent="0.3">
      <c r="A170" t="s">
        <v>329</v>
      </c>
      <c r="C170" t="s">
        <v>330</v>
      </c>
      <c r="D170" t="s">
        <v>331</v>
      </c>
      <c r="E170" t="s">
        <v>332</v>
      </c>
      <c r="F170" t="s">
        <v>333</v>
      </c>
      <c r="G170" t="s">
        <v>334</v>
      </c>
      <c r="H170" t="s">
        <v>335</v>
      </c>
    </row>
    <row r="172" spans="1:8" x14ac:dyDescent="0.3">
      <c r="A172" t="s">
        <v>336</v>
      </c>
      <c r="B172" t="s">
        <v>178</v>
      </c>
      <c r="C172" s="48">
        <v>87888904</v>
      </c>
      <c r="E172" s="48">
        <v>87888904</v>
      </c>
    </row>
    <row r="173" spans="1:8" x14ac:dyDescent="0.3">
      <c r="A173" t="s">
        <v>337</v>
      </c>
      <c r="B173" t="s">
        <v>178</v>
      </c>
      <c r="C173" s="48">
        <v>550517.69999999995</v>
      </c>
      <c r="F173" s="48">
        <v>16919</v>
      </c>
      <c r="G173" s="48">
        <v>550517.69999999995</v>
      </c>
    </row>
    <row r="174" spans="1:8" x14ac:dyDescent="0.3">
      <c r="A174" t="s">
        <v>338</v>
      </c>
      <c r="B174" t="s">
        <v>178</v>
      </c>
      <c r="C174" s="48">
        <v>29088516</v>
      </c>
      <c r="E174" s="48">
        <v>16387426</v>
      </c>
      <c r="F174" s="48">
        <v>391048</v>
      </c>
      <c r="G174" s="48">
        <v>12701090</v>
      </c>
    </row>
    <row r="175" spans="1:8" x14ac:dyDescent="0.3">
      <c r="A175" t="s">
        <v>339</v>
      </c>
      <c r="B175" t="s">
        <v>178</v>
      </c>
      <c r="C175" s="48">
        <v>1570387.4</v>
      </c>
      <c r="E175" s="48">
        <v>974963.8</v>
      </c>
      <c r="F175" s="48">
        <v>22743</v>
      </c>
      <c r="G175" s="48">
        <v>595423.6</v>
      </c>
    </row>
    <row r="176" spans="1:8" x14ac:dyDescent="0.3">
      <c r="A176" t="s">
        <v>340</v>
      </c>
      <c r="B176" t="s">
        <v>178</v>
      </c>
      <c r="C176" s="48">
        <v>334385.2</v>
      </c>
      <c r="E176" s="48">
        <v>286162.5</v>
      </c>
      <c r="F176" s="48">
        <v>1607</v>
      </c>
      <c r="G176" s="48">
        <v>48222.6</v>
      </c>
    </row>
    <row r="177" spans="1:8" x14ac:dyDescent="0.3">
      <c r="A177" t="s">
        <v>341</v>
      </c>
      <c r="B177" t="s">
        <v>178</v>
      </c>
      <c r="C177" s="48">
        <v>1521794.2</v>
      </c>
      <c r="E177" s="48">
        <v>1283153.6000000001</v>
      </c>
      <c r="F177" s="48">
        <v>7330</v>
      </c>
      <c r="G177" s="48">
        <v>238640.7</v>
      </c>
    </row>
    <row r="178" spans="1:8" x14ac:dyDescent="0.3">
      <c r="A178" t="s">
        <v>342</v>
      </c>
      <c r="B178" t="s">
        <v>178</v>
      </c>
      <c r="C178" s="48">
        <v>4357876</v>
      </c>
      <c r="E178" s="48">
        <v>4007078.5</v>
      </c>
      <c r="F178" s="48">
        <v>11202</v>
      </c>
      <c r="G178" s="48">
        <v>350797.5</v>
      </c>
    </row>
    <row r="179" spans="1:8" x14ac:dyDescent="0.3">
      <c r="A179" t="s">
        <v>343</v>
      </c>
      <c r="B179" t="s">
        <v>178</v>
      </c>
      <c r="C179" s="48">
        <v>2890263.8</v>
      </c>
      <c r="E179" s="48">
        <v>1606870.1</v>
      </c>
      <c r="F179" s="48">
        <v>53768</v>
      </c>
      <c r="G179" s="48">
        <v>1283393.5</v>
      </c>
    </row>
    <row r="180" spans="1:8" x14ac:dyDescent="0.3">
      <c r="A180" t="s">
        <v>344</v>
      </c>
      <c r="B180" t="s">
        <v>178</v>
      </c>
      <c r="C180" s="48">
        <v>120116.6</v>
      </c>
      <c r="E180" s="48">
        <v>39539.4</v>
      </c>
      <c r="F180" s="48">
        <v>3363</v>
      </c>
      <c r="G180" s="48">
        <v>80577.2</v>
      </c>
    </row>
    <row r="181" spans="1:8" x14ac:dyDescent="0.3">
      <c r="A181" t="s">
        <v>345</v>
      </c>
      <c r="B181" t="s">
        <v>178</v>
      </c>
      <c r="C181" s="48">
        <v>36462100</v>
      </c>
      <c r="D181" s="48">
        <v>5354700</v>
      </c>
      <c r="E181" s="48">
        <v>11528601</v>
      </c>
      <c r="H181" s="48">
        <v>19578800</v>
      </c>
    </row>
    <row r="182" spans="1:8" x14ac:dyDescent="0.3">
      <c r="A182" t="s">
        <v>346</v>
      </c>
      <c r="B182" t="s">
        <v>178</v>
      </c>
      <c r="C182">
        <v>0</v>
      </c>
    </row>
    <row r="183" spans="1:8" x14ac:dyDescent="0.3">
      <c r="A183" t="s">
        <v>347</v>
      </c>
      <c r="B183" t="s">
        <v>178</v>
      </c>
      <c r="C183" s="48">
        <v>4782905</v>
      </c>
      <c r="D183">
        <v>0</v>
      </c>
      <c r="E183" s="48">
        <v>3720080.5</v>
      </c>
      <c r="G183" s="48">
        <v>475459.9</v>
      </c>
      <c r="H183" s="48">
        <v>587364</v>
      </c>
    </row>
    <row r="184" spans="1:8" x14ac:dyDescent="0.3">
      <c r="A184" t="s">
        <v>348</v>
      </c>
      <c r="B184" t="s">
        <v>178</v>
      </c>
      <c r="C184" s="48">
        <v>5000898.5</v>
      </c>
      <c r="D184" s="48">
        <v>257025.6</v>
      </c>
      <c r="E184" s="48">
        <v>2554455.2000000002</v>
      </c>
      <c r="G184" s="48">
        <v>979447.4</v>
      </c>
      <c r="H184" s="48">
        <v>1209970</v>
      </c>
    </row>
    <row r="185" spans="1:8" x14ac:dyDescent="0.3">
      <c r="A185" t="s">
        <v>349</v>
      </c>
      <c r="B185" t="s">
        <v>178</v>
      </c>
      <c r="C185">
        <v>0</v>
      </c>
      <c r="D185">
        <v>0</v>
      </c>
      <c r="E185">
        <v>0</v>
      </c>
      <c r="G185">
        <v>0</v>
      </c>
      <c r="H185">
        <v>0</v>
      </c>
    </row>
    <row r="186" spans="1:8" x14ac:dyDescent="0.3">
      <c r="A186" t="s">
        <v>350</v>
      </c>
      <c r="B186" t="s">
        <v>178</v>
      </c>
      <c r="C186" s="48">
        <v>31422358</v>
      </c>
      <c r="D186" s="48">
        <v>1010110.6</v>
      </c>
      <c r="E186" s="48">
        <v>23449900</v>
      </c>
      <c r="G186" s="48">
        <v>3114642.5</v>
      </c>
      <c r="H186" s="48">
        <v>3847704</v>
      </c>
    </row>
    <row r="187" spans="1:8" x14ac:dyDescent="0.3">
      <c r="C187">
        <v>0</v>
      </c>
    </row>
    <row r="189" spans="1:8" x14ac:dyDescent="0.3">
      <c r="A189" t="s">
        <v>351</v>
      </c>
      <c r="B189" t="s">
        <v>178</v>
      </c>
      <c r="C189" s="48">
        <v>205991022.40000001</v>
      </c>
    </row>
    <row r="190" spans="1:8" x14ac:dyDescent="0.3">
      <c r="A190" t="s">
        <v>352</v>
      </c>
      <c r="B190" t="s">
        <v>178</v>
      </c>
      <c r="C190" s="48">
        <v>203444430.09</v>
      </c>
    </row>
    <row r="192" spans="1:8" x14ac:dyDescent="0.3">
      <c r="A192" t="s">
        <v>242</v>
      </c>
    </row>
    <row r="193" spans="1:4" x14ac:dyDescent="0.3">
      <c r="A193" t="s">
        <v>353</v>
      </c>
      <c r="C193" t="s">
        <v>178</v>
      </c>
      <c r="D193" t="s">
        <v>354</v>
      </c>
    </row>
    <row r="195" spans="1:4" x14ac:dyDescent="0.3">
      <c r="A195" t="s">
        <v>355</v>
      </c>
      <c r="C195" s="48">
        <v>1145900</v>
      </c>
      <c r="D195" s="48">
        <v>9508</v>
      </c>
    </row>
    <row r="196" spans="1:4" x14ac:dyDescent="0.3">
      <c r="A196" t="s">
        <v>356</v>
      </c>
      <c r="C196" s="48">
        <v>2038500</v>
      </c>
      <c r="D196" s="48">
        <v>18387</v>
      </c>
    </row>
    <row r="197" spans="1:4" x14ac:dyDescent="0.3">
      <c r="A197" t="s">
        <v>357</v>
      </c>
      <c r="C197" s="48">
        <v>685400</v>
      </c>
    </row>
    <row r="198" spans="1:4" x14ac:dyDescent="0.3">
      <c r="A198" t="s">
        <v>358</v>
      </c>
      <c r="C198" s="48">
        <v>1484900</v>
      </c>
      <c r="D198" s="48">
        <v>14425</v>
      </c>
    </row>
    <row r="199" spans="1:4" x14ac:dyDescent="0.3">
      <c r="A199" t="s">
        <v>359</v>
      </c>
      <c r="C199" s="48">
        <v>5354700</v>
      </c>
    </row>
    <row r="200" spans="1:4" x14ac:dyDescent="0.3">
      <c r="A200" t="s">
        <v>242</v>
      </c>
    </row>
    <row r="202" spans="1:4" x14ac:dyDescent="0.3">
      <c r="A202" t="s">
        <v>360</v>
      </c>
    </row>
    <row r="204" spans="1:4" x14ac:dyDescent="0.3">
      <c r="A204" t="s">
        <v>361</v>
      </c>
      <c r="B204" t="s">
        <v>362</v>
      </c>
      <c r="C204" s="48">
        <v>1860.01</v>
      </c>
    </row>
    <row r="205" spans="1:4" x14ac:dyDescent="0.3">
      <c r="A205" t="s">
        <v>318</v>
      </c>
      <c r="B205" t="s">
        <v>363</v>
      </c>
      <c r="C205" s="48">
        <v>14880094.279999999</v>
      </c>
    </row>
    <row r="207" spans="1:4" x14ac:dyDescent="0.3">
      <c r="A207" t="s">
        <v>364</v>
      </c>
      <c r="B207" t="s">
        <v>362</v>
      </c>
      <c r="C207" s="48">
        <v>126143.61</v>
      </c>
    </row>
    <row r="208" spans="1:4" x14ac:dyDescent="0.3">
      <c r="A208" t="s">
        <v>319</v>
      </c>
      <c r="B208" t="s">
        <v>363</v>
      </c>
      <c r="C208" s="48">
        <v>1009148872</v>
      </c>
    </row>
    <row r="211" spans="1:3" x14ac:dyDescent="0.3">
      <c r="A211" t="s">
        <v>365</v>
      </c>
      <c r="C211" t="s">
        <v>570</v>
      </c>
    </row>
    <row r="212" spans="1:3" x14ac:dyDescent="0.3">
      <c r="A212" t="s">
        <v>366</v>
      </c>
      <c r="B212" t="s">
        <v>559</v>
      </c>
      <c r="C212" s="48">
        <v>60867.71</v>
      </c>
    </row>
    <row r="213" spans="1:3" x14ac:dyDescent="0.3">
      <c r="A213" t="s">
        <v>367</v>
      </c>
      <c r="B213" t="s">
        <v>560</v>
      </c>
      <c r="C213">
        <v>0.99</v>
      </c>
    </row>
    <row r="214" spans="1:3" x14ac:dyDescent="0.3">
      <c r="A214" t="s">
        <v>368</v>
      </c>
      <c r="C214" t="s">
        <v>515</v>
      </c>
    </row>
    <row r="215" spans="1:3" x14ac:dyDescent="0.3">
      <c r="A215" t="s">
        <v>369</v>
      </c>
      <c r="B215" t="s">
        <v>561</v>
      </c>
      <c r="C215" s="48">
        <v>486941709.51999998</v>
      </c>
    </row>
    <row r="216" spans="1:3" x14ac:dyDescent="0.3">
      <c r="A216" t="s">
        <v>370</v>
      </c>
      <c r="B216" t="s">
        <v>209</v>
      </c>
      <c r="C216" s="48">
        <v>482072292.42000002</v>
      </c>
    </row>
    <row r="217" spans="1:3" x14ac:dyDescent="0.3">
      <c r="A217" t="s">
        <v>371</v>
      </c>
      <c r="B217" t="s">
        <v>209</v>
      </c>
      <c r="C217" s="48">
        <v>527076579.57999998</v>
      </c>
    </row>
    <row r="220" spans="1:3" x14ac:dyDescent="0.3">
      <c r="A220" t="s">
        <v>242</v>
      </c>
    </row>
    <row r="222" spans="1:3" x14ac:dyDescent="0.3">
      <c r="A222" t="s">
        <v>372</v>
      </c>
    </row>
    <row r="224" spans="1:3" x14ac:dyDescent="0.3">
      <c r="A224" t="s">
        <v>373</v>
      </c>
    </row>
    <row r="225" spans="1:3" x14ac:dyDescent="0.3">
      <c r="A225" t="s">
        <v>374</v>
      </c>
      <c r="C225">
        <v>3</v>
      </c>
    </row>
    <row r="226" spans="1:3" x14ac:dyDescent="0.3">
      <c r="A226" t="s">
        <v>375</v>
      </c>
      <c r="B226" t="s">
        <v>376</v>
      </c>
      <c r="C226">
        <v>20</v>
      </c>
    </row>
    <row r="227" spans="1:3" x14ac:dyDescent="0.3">
      <c r="A227" t="s">
        <v>377</v>
      </c>
      <c r="B227" t="s">
        <v>296</v>
      </c>
      <c r="C227" s="48">
        <v>480000</v>
      </c>
    </row>
    <row r="229" spans="1:3" x14ac:dyDescent="0.3">
      <c r="A229" t="s">
        <v>378</v>
      </c>
    </row>
    <row r="230" spans="1:3" x14ac:dyDescent="0.3">
      <c r="A230" t="s">
        <v>379</v>
      </c>
      <c r="C230" s="48">
        <v>1980000</v>
      </c>
    </row>
    <row r="231" spans="1:3" x14ac:dyDescent="0.3">
      <c r="A231" t="s">
        <v>380</v>
      </c>
      <c r="B231" t="s">
        <v>296</v>
      </c>
      <c r="C231" s="48">
        <v>1980000</v>
      </c>
    </row>
    <row r="233" spans="1:3" x14ac:dyDescent="0.3">
      <c r="A233" t="s">
        <v>381</v>
      </c>
    </row>
    <row r="234" spans="1:3" x14ac:dyDescent="0.3">
      <c r="A234" t="s">
        <v>382</v>
      </c>
      <c r="C234">
        <v>1</v>
      </c>
    </row>
    <row r="235" spans="1:3" x14ac:dyDescent="0.3">
      <c r="A235" t="s">
        <v>375</v>
      </c>
      <c r="B235" t="s">
        <v>383</v>
      </c>
      <c r="C235">
        <v>35</v>
      </c>
    </row>
    <row r="236" spans="1:3" x14ac:dyDescent="0.3">
      <c r="A236" t="s">
        <v>384</v>
      </c>
      <c r="B236" t="s">
        <v>296</v>
      </c>
      <c r="C236" s="48">
        <v>280000</v>
      </c>
    </row>
    <row r="248" spans="1:3" x14ac:dyDescent="0.3">
      <c r="A248" t="s">
        <v>242</v>
      </c>
    </row>
    <row r="250" spans="1:3" x14ac:dyDescent="0.3">
      <c r="A250" t="s">
        <v>385</v>
      </c>
    </row>
    <row r="253" spans="1:3" x14ac:dyDescent="0.3">
      <c r="A253" t="s">
        <v>386</v>
      </c>
    </row>
    <row r="254" spans="1:3" x14ac:dyDescent="0.3">
      <c r="A254" t="s">
        <v>387</v>
      </c>
      <c r="B254" t="s">
        <v>388</v>
      </c>
      <c r="C254" s="48">
        <v>37473.699999999997</v>
      </c>
    </row>
    <row r="255" spans="1:3" x14ac:dyDescent="0.3">
      <c r="A255" t="s">
        <v>375</v>
      </c>
      <c r="B255" t="s">
        <v>389</v>
      </c>
      <c r="C255">
        <v>0.08</v>
      </c>
    </row>
    <row r="256" spans="1:3" x14ac:dyDescent="0.3">
      <c r="A256" t="s">
        <v>390</v>
      </c>
      <c r="B256" t="s">
        <v>296</v>
      </c>
      <c r="C256" s="48">
        <v>23233694</v>
      </c>
    </row>
    <row r="257" spans="1:3" x14ac:dyDescent="0.3">
      <c r="A257" t="s">
        <v>391</v>
      </c>
    </row>
    <row r="258" spans="1:3" x14ac:dyDescent="0.3">
      <c r="A258" t="s">
        <v>387</v>
      </c>
    </row>
    <row r="259" spans="1:3" x14ac:dyDescent="0.3">
      <c r="A259" t="s">
        <v>375</v>
      </c>
      <c r="B259" t="s">
        <v>392</v>
      </c>
      <c r="C259">
        <v>0</v>
      </c>
    </row>
    <row r="260" spans="1:3" x14ac:dyDescent="0.3">
      <c r="A260" t="s">
        <v>393</v>
      </c>
      <c r="B260" t="s">
        <v>296</v>
      </c>
      <c r="C260">
        <v>0</v>
      </c>
    </row>
    <row r="261" spans="1:3" x14ac:dyDescent="0.3">
      <c r="A261" t="s">
        <v>394</v>
      </c>
    </row>
    <row r="262" spans="1:3" x14ac:dyDescent="0.3">
      <c r="A262" t="s">
        <v>387</v>
      </c>
    </row>
    <row r="263" spans="1:3" x14ac:dyDescent="0.3">
      <c r="A263" t="s">
        <v>375</v>
      </c>
      <c r="B263" t="s">
        <v>395</v>
      </c>
      <c r="C263">
        <v>26.81</v>
      </c>
    </row>
    <row r="264" spans="1:3" x14ac:dyDescent="0.3">
      <c r="A264" t="s">
        <v>396</v>
      </c>
      <c r="B264" t="s">
        <v>296</v>
      </c>
      <c r="C264">
        <v>0</v>
      </c>
    </row>
    <row r="265" spans="1:3" x14ac:dyDescent="0.3">
      <c r="A265" t="s">
        <v>397</v>
      </c>
    </row>
    <row r="266" spans="1:3" x14ac:dyDescent="0.3">
      <c r="A266" t="s">
        <v>387</v>
      </c>
    </row>
    <row r="267" spans="1:3" x14ac:dyDescent="0.3">
      <c r="A267" t="s">
        <v>375</v>
      </c>
      <c r="B267" t="s">
        <v>392</v>
      </c>
      <c r="C267">
        <v>0</v>
      </c>
    </row>
    <row r="268" spans="1:3" x14ac:dyDescent="0.3">
      <c r="A268" t="s">
        <v>398</v>
      </c>
      <c r="B268" t="s">
        <v>296</v>
      </c>
      <c r="C268">
        <v>0</v>
      </c>
    </row>
    <row r="269" spans="1:3" x14ac:dyDescent="0.3">
      <c r="A269" t="s">
        <v>399</v>
      </c>
      <c r="B269" t="s">
        <v>296</v>
      </c>
      <c r="C269" s="48">
        <v>23233694</v>
      </c>
    </row>
    <row r="274" spans="3:3" x14ac:dyDescent="0.3">
      <c r="C274">
        <v>0</v>
      </c>
    </row>
    <row r="275" spans="3:3" x14ac:dyDescent="0.3">
      <c r="C275">
        <v>0</v>
      </c>
    </row>
    <row r="276" spans="3:3" x14ac:dyDescent="0.3">
      <c r="C276">
        <v>0</v>
      </c>
    </row>
    <row r="278" spans="3:3" x14ac:dyDescent="0.3">
      <c r="C278">
        <v>0</v>
      </c>
    </row>
    <row r="279" spans="3:3" x14ac:dyDescent="0.3">
      <c r="C279">
        <v>0</v>
      </c>
    </row>
    <row r="280" spans="3:3" x14ac:dyDescent="0.3">
      <c r="C280">
        <v>0</v>
      </c>
    </row>
    <row r="282" spans="3:3" x14ac:dyDescent="0.3">
      <c r="C282">
        <v>0</v>
      </c>
    </row>
    <row r="283" spans="3:3" x14ac:dyDescent="0.3">
      <c r="C283">
        <v>0</v>
      </c>
    </row>
    <row r="284" spans="3:3" x14ac:dyDescent="0.3">
      <c r="C284">
        <v>0</v>
      </c>
    </row>
    <row r="286" spans="3:3" x14ac:dyDescent="0.3">
      <c r="C286">
        <v>0</v>
      </c>
    </row>
    <row r="287" spans="3:3" x14ac:dyDescent="0.3">
      <c r="C287">
        <v>0</v>
      </c>
    </row>
    <row r="288" spans="3:3" x14ac:dyDescent="0.3">
      <c r="C288">
        <v>0</v>
      </c>
    </row>
    <row r="290" spans="3:3" x14ac:dyDescent="0.3">
      <c r="C290">
        <v>0</v>
      </c>
    </row>
    <row r="291" spans="3:3" x14ac:dyDescent="0.3">
      <c r="C291">
        <v>0</v>
      </c>
    </row>
    <row r="292" spans="3:3" x14ac:dyDescent="0.3">
      <c r="C292">
        <v>0</v>
      </c>
    </row>
    <row r="294" spans="3:3" x14ac:dyDescent="0.3">
      <c r="C294">
        <v>0</v>
      </c>
    </row>
    <row r="295" spans="3:3" x14ac:dyDescent="0.3">
      <c r="C295">
        <v>0</v>
      </c>
    </row>
    <row r="296" spans="3:3" x14ac:dyDescent="0.3">
      <c r="C296">
        <v>0</v>
      </c>
    </row>
    <row r="298" spans="3:3" x14ac:dyDescent="0.3">
      <c r="C298">
        <v>0</v>
      </c>
    </row>
    <row r="299" spans="3:3" x14ac:dyDescent="0.3">
      <c r="C299">
        <v>0</v>
      </c>
    </row>
    <row r="300" spans="3:3" x14ac:dyDescent="0.3">
      <c r="C300">
        <v>0</v>
      </c>
    </row>
    <row r="302" spans="3:3" x14ac:dyDescent="0.3">
      <c r="C302">
        <v>0</v>
      </c>
    </row>
    <row r="303" spans="3:3" x14ac:dyDescent="0.3">
      <c r="C303">
        <v>0</v>
      </c>
    </row>
    <row r="304" spans="3:3" x14ac:dyDescent="0.3">
      <c r="C304">
        <v>0</v>
      </c>
    </row>
    <row r="306" spans="3:3" x14ac:dyDescent="0.3">
      <c r="C306">
        <v>0</v>
      </c>
    </row>
    <row r="307" spans="3:3" x14ac:dyDescent="0.3">
      <c r="C307">
        <v>0</v>
      </c>
    </row>
    <row r="308" spans="3:3" x14ac:dyDescent="0.3">
      <c r="C308">
        <v>0</v>
      </c>
    </row>
    <row r="310" spans="3:3" x14ac:dyDescent="0.3">
      <c r="C310">
        <v>0</v>
      </c>
    </row>
    <row r="311" spans="3:3" x14ac:dyDescent="0.3">
      <c r="C311">
        <v>0</v>
      </c>
    </row>
    <row r="312" spans="3:3" x14ac:dyDescent="0.3">
      <c r="C312">
        <v>0</v>
      </c>
    </row>
    <row r="314" spans="3:3" x14ac:dyDescent="0.3">
      <c r="C314">
        <v>0</v>
      </c>
    </row>
    <row r="315" spans="3:3" x14ac:dyDescent="0.3">
      <c r="C315">
        <v>0</v>
      </c>
    </row>
    <row r="316" spans="3:3" x14ac:dyDescent="0.3">
      <c r="C316">
        <v>0</v>
      </c>
    </row>
    <row r="318" spans="3:3" x14ac:dyDescent="0.3">
      <c r="C318">
        <v>0</v>
      </c>
    </row>
    <row r="319" spans="3:3" x14ac:dyDescent="0.3">
      <c r="C319">
        <v>0</v>
      </c>
    </row>
    <row r="320" spans="3:3" x14ac:dyDescent="0.3">
      <c r="C320">
        <v>0</v>
      </c>
    </row>
    <row r="322" spans="3:3" x14ac:dyDescent="0.3">
      <c r="C322">
        <v>0</v>
      </c>
    </row>
    <row r="323" spans="3:3" x14ac:dyDescent="0.3">
      <c r="C323">
        <v>0</v>
      </c>
    </row>
    <row r="324" spans="3:3" x14ac:dyDescent="0.3">
      <c r="C324">
        <v>0</v>
      </c>
    </row>
    <row r="326" spans="3:3" x14ac:dyDescent="0.3">
      <c r="C326">
        <v>0</v>
      </c>
    </row>
    <row r="327" spans="3:3" x14ac:dyDescent="0.3">
      <c r="C327">
        <v>0</v>
      </c>
    </row>
    <row r="328" spans="3:3" x14ac:dyDescent="0.3">
      <c r="C328">
        <v>0</v>
      </c>
    </row>
    <row r="330" spans="3:3" x14ac:dyDescent="0.3">
      <c r="C330">
        <v>0</v>
      </c>
    </row>
    <row r="331" spans="3:3" x14ac:dyDescent="0.3">
      <c r="C331">
        <v>0</v>
      </c>
    </row>
    <row r="332" spans="3:3" x14ac:dyDescent="0.3">
      <c r="C332">
        <v>0</v>
      </c>
    </row>
    <row r="334" spans="3:3" x14ac:dyDescent="0.3">
      <c r="C334">
        <v>0</v>
      </c>
    </row>
    <row r="335" spans="3:3" x14ac:dyDescent="0.3">
      <c r="C335">
        <v>0</v>
      </c>
    </row>
    <row r="336" spans="3:3" x14ac:dyDescent="0.3">
      <c r="C336">
        <v>0</v>
      </c>
    </row>
    <row r="338" spans="1:3" x14ac:dyDescent="0.3">
      <c r="C338">
        <v>0</v>
      </c>
    </row>
    <row r="339" spans="1:3" x14ac:dyDescent="0.3">
      <c r="C339">
        <v>0</v>
      </c>
    </row>
    <row r="340" spans="1:3" x14ac:dyDescent="0.3">
      <c r="C340">
        <v>0</v>
      </c>
    </row>
    <row r="342" spans="1:3" x14ac:dyDescent="0.3">
      <c r="C342">
        <v>0</v>
      </c>
    </row>
    <row r="343" spans="1:3" x14ac:dyDescent="0.3">
      <c r="C343">
        <v>0</v>
      </c>
    </row>
    <row r="344" spans="1:3" x14ac:dyDescent="0.3">
      <c r="C344">
        <v>0</v>
      </c>
    </row>
    <row r="346" spans="1:3" x14ac:dyDescent="0.3">
      <c r="C346">
        <v>0</v>
      </c>
    </row>
    <row r="347" spans="1:3" x14ac:dyDescent="0.3">
      <c r="C347">
        <v>0</v>
      </c>
    </row>
    <row r="348" spans="1:3" x14ac:dyDescent="0.3">
      <c r="C348">
        <v>0</v>
      </c>
    </row>
    <row r="350" spans="1:3" x14ac:dyDescent="0.3">
      <c r="C350">
        <v>0</v>
      </c>
    </row>
    <row r="351" spans="1:3" x14ac:dyDescent="0.3">
      <c r="C351">
        <v>0</v>
      </c>
    </row>
    <row r="352" spans="1:3" x14ac:dyDescent="0.3">
      <c r="A352" t="s">
        <v>400</v>
      </c>
      <c r="B352" t="s">
        <v>296</v>
      </c>
      <c r="C352">
        <v>0</v>
      </c>
    </row>
    <row r="353" spans="1:3" x14ac:dyDescent="0.3">
      <c r="A353" t="s">
        <v>401</v>
      </c>
      <c r="B353" t="s">
        <v>296</v>
      </c>
      <c r="C353" s="48">
        <v>325203350.83999997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94"/>
  <sheetViews>
    <sheetView zoomScaleNormal="100" workbookViewId="0">
      <selection sqref="A1:XFD1048576"/>
    </sheetView>
  </sheetViews>
  <sheetFormatPr defaultRowHeight="16.5" x14ac:dyDescent="0.3"/>
  <cols>
    <col min="1" max="1" width="59" customWidth="1"/>
    <col min="2" max="2" width="16.5" bestFit="1" customWidth="1"/>
    <col min="3" max="3" width="15.5" bestFit="1" customWidth="1"/>
    <col min="4" max="4" width="13.875" bestFit="1" customWidth="1"/>
    <col min="5" max="5" width="14.5" bestFit="1" customWidth="1"/>
    <col min="6" max="6" width="13.875" bestFit="1" customWidth="1"/>
    <col min="7" max="11" width="15.5" bestFit="1" customWidth="1"/>
    <col min="12" max="26" width="16.5" bestFit="1" customWidth="1"/>
    <col min="27" max="53" width="17.5" bestFit="1" customWidth="1"/>
  </cols>
  <sheetData>
    <row r="1" spans="1:33" x14ac:dyDescent="0.3">
      <c r="A1" t="s">
        <v>402</v>
      </c>
      <c r="B1" t="s">
        <v>216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5" spans="1:33" x14ac:dyDescent="0.3">
      <c r="A5" t="s">
        <v>239</v>
      </c>
      <c r="B5" t="s">
        <v>240</v>
      </c>
    </row>
    <row r="7" spans="1:33" x14ac:dyDescent="0.3">
      <c r="A7" t="s">
        <v>403</v>
      </c>
      <c r="B7" t="s">
        <v>282</v>
      </c>
      <c r="C7">
        <v>52</v>
      </c>
    </row>
    <row r="8" spans="1:33" x14ac:dyDescent="0.3">
      <c r="A8" t="s">
        <v>404</v>
      </c>
      <c r="B8" t="s">
        <v>284</v>
      </c>
      <c r="C8">
        <v>30</v>
      </c>
    </row>
    <row r="9" spans="1:33" x14ac:dyDescent="0.3">
      <c r="A9" t="s">
        <v>405</v>
      </c>
      <c r="B9" t="s">
        <v>284</v>
      </c>
      <c r="C9">
        <v>1.85</v>
      </c>
    </row>
    <row r="10" spans="1:33" x14ac:dyDescent="0.3">
      <c r="A10" t="s">
        <v>406</v>
      </c>
      <c r="B10" t="s">
        <v>284</v>
      </c>
      <c r="C10">
        <v>2.23</v>
      </c>
    </row>
    <row r="11" spans="1:33" x14ac:dyDescent="0.3">
      <c r="A11" t="s">
        <v>407</v>
      </c>
      <c r="B11" t="s">
        <v>293</v>
      </c>
      <c r="C11">
        <v>5</v>
      </c>
    </row>
    <row r="12" spans="1:33" x14ac:dyDescent="0.3">
      <c r="A12" t="s">
        <v>408</v>
      </c>
      <c r="B12" t="s">
        <v>293</v>
      </c>
      <c r="C12">
        <v>25</v>
      </c>
    </row>
    <row r="13" spans="1:33" x14ac:dyDescent="0.3">
      <c r="A13" t="s">
        <v>409</v>
      </c>
      <c r="B13" t="s">
        <v>293</v>
      </c>
      <c r="C13">
        <v>50</v>
      </c>
    </row>
    <row r="14" spans="1:33" x14ac:dyDescent="0.3">
      <c r="A14" t="s">
        <v>410</v>
      </c>
      <c r="B14" t="s">
        <v>178</v>
      </c>
      <c r="C14" s="48">
        <v>203444430.09</v>
      </c>
    </row>
    <row r="15" spans="1:33" x14ac:dyDescent="0.3">
      <c r="A15" t="s">
        <v>411</v>
      </c>
      <c r="B15" t="s">
        <v>296</v>
      </c>
      <c r="C15" s="48">
        <v>14880094.279999999</v>
      </c>
    </row>
    <row r="16" spans="1:33" x14ac:dyDescent="0.3">
      <c r="A16" t="s">
        <v>412</v>
      </c>
      <c r="B16" t="s">
        <v>296</v>
      </c>
      <c r="C16" s="48">
        <v>1009148872</v>
      </c>
    </row>
    <row r="17" spans="1:3" x14ac:dyDescent="0.3">
      <c r="A17" t="s">
        <v>413</v>
      </c>
      <c r="B17" t="s">
        <v>296</v>
      </c>
      <c r="C17" s="48">
        <v>2740000</v>
      </c>
    </row>
    <row r="18" spans="1:3" x14ac:dyDescent="0.3">
      <c r="A18" t="s">
        <v>414</v>
      </c>
      <c r="B18" t="s">
        <v>296</v>
      </c>
      <c r="C18" s="48">
        <v>348437044.83999997</v>
      </c>
    </row>
    <row r="19" spans="1:3" x14ac:dyDescent="0.3">
      <c r="A19" t="s">
        <v>415</v>
      </c>
      <c r="B19" t="s">
        <v>293</v>
      </c>
      <c r="C19">
        <v>8</v>
      </c>
    </row>
    <row r="20" spans="1:3" x14ac:dyDescent="0.3">
      <c r="A20" t="s">
        <v>416</v>
      </c>
      <c r="C20">
        <v>12.5</v>
      </c>
    </row>
    <row r="21" spans="1:3" x14ac:dyDescent="0.3">
      <c r="A21" t="s">
        <v>417</v>
      </c>
      <c r="B21" t="s">
        <v>293</v>
      </c>
      <c r="C21">
        <v>35</v>
      </c>
    </row>
    <row r="22" spans="1:3" x14ac:dyDescent="0.3">
      <c r="A22" t="s">
        <v>418</v>
      </c>
      <c r="C22">
        <v>1.08</v>
      </c>
    </row>
    <row r="23" spans="1:3" x14ac:dyDescent="0.3">
      <c r="A23" t="s">
        <v>419</v>
      </c>
      <c r="B23" t="s">
        <v>284</v>
      </c>
      <c r="C23">
        <v>30</v>
      </c>
    </row>
    <row r="24" spans="1:3" x14ac:dyDescent="0.3">
      <c r="A24" t="s">
        <v>420</v>
      </c>
      <c r="B24" t="s">
        <v>307</v>
      </c>
      <c r="C24">
        <v>20</v>
      </c>
    </row>
    <row r="25" spans="1:3" x14ac:dyDescent="0.3">
      <c r="A25" t="s">
        <v>421</v>
      </c>
      <c r="C25" t="s">
        <v>309</v>
      </c>
    </row>
    <row r="26" spans="1:3" x14ac:dyDescent="0.3">
      <c r="A26" t="s">
        <v>422</v>
      </c>
      <c r="C26">
        <v>1</v>
      </c>
    </row>
    <row r="27" spans="1:3" x14ac:dyDescent="0.3">
      <c r="A27" t="s">
        <v>423</v>
      </c>
      <c r="B27" t="s">
        <v>293</v>
      </c>
      <c r="C27">
        <v>5</v>
      </c>
    </row>
    <row r="28" spans="1:3" x14ac:dyDescent="0.3">
      <c r="A28" t="s">
        <v>424</v>
      </c>
      <c r="B28" t="s">
        <v>293</v>
      </c>
      <c r="C28">
        <v>5</v>
      </c>
    </row>
    <row r="29" spans="1:3" x14ac:dyDescent="0.3">
      <c r="A29" t="s">
        <v>425</v>
      </c>
      <c r="B29" t="s">
        <v>293</v>
      </c>
      <c r="C29">
        <v>3.5</v>
      </c>
    </row>
    <row r="30" spans="1:3" x14ac:dyDescent="0.3">
      <c r="A30" t="s">
        <v>426</v>
      </c>
      <c r="B30" t="s">
        <v>293</v>
      </c>
      <c r="C30">
        <v>3</v>
      </c>
    </row>
    <row r="31" spans="1:3" x14ac:dyDescent="0.3">
      <c r="A31" t="s">
        <v>427</v>
      </c>
      <c r="B31" t="s">
        <v>293</v>
      </c>
      <c r="C31">
        <v>3</v>
      </c>
    </row>
    <row r="32" spans="1:3" x14ac:dyDescent="0.3">
      <c r="A32" t="s">
        <v>428</v>
      </c>
      <c r="B32" t="s">
        <v>284</v>
      </c>
      <c r="C32">
        <v>2</v>
      </c>
    </row>
    <row r="33" spans="1:3" x14ac:dyDescent="0.3">
      <c r="A33" t="s">
        <v>429</v>
      </c>
      <c r="B33" t="s">
        <v>284</v>
      </c>
    </row>
    <row r="34" spans="1:3" x14ac:dyDescent="0.3">
      <c r="A34" t="s">
        <v>430</v>
      </c>
      <c r="B34" t="s">
        <v>284</v>
      </c>
    </row>
    <row r="35" spans="1:3" x14ac:dyDescent="0.3">
      <c r="A35" t="s">
        <v>431</v>
      </c>
      <c r="B35" t="s">
        <v>432</v>
      </c>
      <c r="C35">
        <v>10.5</v>
      </c>
    </row>
    <row r="36" spans="1:3" x14ac:dyDescent="0.3">
      <c r="A36" t="s">
        <v>433</v>
      </c>
      <c r="B36" t="s">
        <v>284</v>
      </c>
      <c r="C36">
        <v>31</v>
      </c>
    </row>
    <row r="37" spans="1:3" x14ac:dyDescent="0.3">
      <c r="A37" t="s">
        <v>434</v>
      </c>
      <c r="B37" t="s">
        <v>432</v>
      </c>
      <c r="C37">
        <v>8</v>
      </c>
    </row>
    <row r="38" spans="1:3" x14ac:dyDescent="0.3">
      <c r="A38" t="s">
        <v>435</v>
      </c>
      <c r="B38" t="s">
        <v>284</v>
      </c>
      <c r="C38">
        <v>0.65</v>
      </c>
    </row>
    <row r="39" spans="1:3" x14ac:dyDescent="0.3">
      <c r="A39" t="s">
        <v>436</v>
      </c>
      <c r="B39" t="s">
        <v>296</v>
      </c>
      <c r="C39" s="48">
        <v>760000</v>
      </c>
    </row>
    <row r="40" spans="1:3" x14ac:dyDescent="0.3">
      <c r="A40" t="s">
        <v>437</v>
      </c>
      <c r="B40" t="s">
        <v>296</v>
      </c>
      <c r="C40" s="48">
        <v>1980000</v>
      </c>
    </row>
    <row r="51" spans="1:53" x14ac:dyDescent="0.3">
      <c r="A51" t="s">
        <v>438</v>
      </c>
    </row>
    <row r="52" spans="1:53" x14ac:dyDescent="0.3">
      <c r="A52" t="s">
        <v>439</v>
      </c>
      <c r="B52" t="s">
        <v>363</v>
      </c>
      <c r="C52">
        <v>0</v>
      </c>
      <c r="D52">
        <v>0</v>
      </c>
      <c r="E52">
        <v>0</v>
      </c>
      <c r="F52" s="48">
        <v>898627663.80999994</v>
      </c>
      <c r="G52" s="48">
        <v>1226626761.0999999</v>
      </c>
      <c r="H52" s="48">
        <v>1287958099.1500001</v>
      </c>
      <c r="I52" s="48">
        <v>1352356004.1099999</v>
      </c>
      <c r="J52" s="48">
        <v>1419973804.3099999</v>
      </c>
      <c r="K52" s="48">
        <v>1490972494.53</v>
      </c>
      <c r="L52" s="48">
        <v>1565521119.26</v>
      </c>
      <c r="M52" s="48">
        <v>1643797175.22</v>
      </c>
      <c r="N52" s="48">
        <v>1725987033.98</v>
      </c>
      <c r="O52" s="48">
        <v>1812286385.6800001</v>
      </c>
      <c r="P52" s="48">
        <v>1902900704.96</v>
      </c>
      <c r="Q52" s="48">
        <v>1998045740.21</v>
      </c>
      <c r="R52" s="48">
        <v>2097948027.22</v>
      </c>
      <c r="S52" s="48">
        <v>2202845428.5799999</v>
      </c>
      <c r="T52" s="48">
        <v>2312987700.0100002</v>
      </c>
      <c r="U52" s="48">
        <v>2428637085.0100002</v>
      </c>
      <c r="V52" s="48">
        <v>2550068939.2600002</v>
      </c>
      <c r="W52" s="48">
        <v>2677572386.23</v>
      </c>
      <c r="X52" s="48">
        <v>2811451005.54</v>
      </c>
      <c r="Y52" s="48">
        <v>2952023555.8099999</v>
      </c>
      <c r="Z52" s="48">
        <v>3099624733.6100001</v>
      </c>
      <c r="AA52" s="48">
        <v>3254605970.29</v>
      </c>
      <c r="AB52" s="48">
        <v>3417336268.8000002</v>
      </c>
      <c r="AC52" s="48">
        <v>3588203082.2399998</v>
      </c>
      <c r="AD52" s="48">
        <v>3767613236.3499999</v>
      </c>
      <c r="AE52" s="48">
        <v>3955993898.1700001</v>
      </c>
      <c r="AF52" s="48">
        <v>4153793593.0799999</v>
      </c>
      <c r="AG52" s="48">
        <v>4361483272.7299995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 t="s">
        <v>440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441</v>
      </c>
      <c r="B54" t="s">
        <v>363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 t="s">
        <v>442</v>
      </c>
      <c r="B55" t="s">
        <v>363</v>
      </c>
      <c r="C55">
        <v>0</v>
      </c>
      <c r="D55">
        <v>0</v>
      </c>
      <c r="E55">
        <v>0</v>
      </c>
      <c r="F55" s="48">
        <v>898627663.80999994</v>
      </c>
      <c r="G55" s="48">
        <v>1226626761.0999999</v>
      </c>
      <c r="H55" s="48">
        <v>1287958099.1500001</v>
      </c>
      <c r="I55" s="48">
        <v>1352356004.1099999</v>
      </c>
      <c r="J55" s="48">
        <v>1419973804.3099999</v>
      </c>
      <c r="K55" s="48">
        <v>1490972494.53</v>
      </c>
      <c r="L55" s="48">
        <v>1565521119.26</v>
      </c>
      <c r="M55" s="48">
        <v>1643797175.22</v>
      </c>
      <c r="N55" s="48">
        <v>1725987033.98</v>
      </c>
      <c r="O55" s="48">
        <v>1812286385.6800001</v>
      </c>
      <c r="P55" s="48">
        <v>1902900704.96</v>
      </c>
      <c r="Q55" s="48">
        <v>1998045740.21</v>
      </c>
      <c r="R55" s="48">
        <v>2097948027.22</v>
      </c>
      <c r="S55" s="48">
        <v>2202845428.5799999</v>
      </c>
      <c r="T55" s="48">
        <v>2312987700.0100002</v>
      </c>
      <c r="U55" s="48">
        <v>2428637085.0100002</v>
      </c>
      <c r="V55" s="48">
        <v>2550068939.2600002</v>
      </c>
      <c r="W55" s="48">
        <v>2677572386.23</v>
      </c>
      <c r="X55" s="48">
        <v>2811451005.54</v>
      </c>
      <c r="Y55" s="48">
        <v>2952023555.8099999</v>
      </c>
      <c r="Z55" s="48">
        <v>3099624733.6100001</v>
      </c>
      <c r="AA55" s="48">
        <v>3254605970.29</v>
      </c>
      <c r="AB55" s="48">
        <v>3417336268.8000002</v>
      </c>
      <c r="AC55" s="48">
        <v>3588203082.2399998</v>
      </c>
      <c r="AD55" s="48">
        <v>3767613236.3499999</v>
      </c>
      <c r="AE55" s="48">
        <v>3955993898.1700001</v>
      </c>
      <c r="AF55" s="48">
        <v>4153793593.0799999</v>
      </c>
      <c r="AG55" s="48">
        <v>4361483272.7299995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61" spans="1:53" x14ac:dyDescent="0.3">
      <c r="A61" t="s">
        <v>443</v>
      </c>
    </row>
    <row r="62" spans="1:53" x14ac:dyDescent="0.3">
      <c r="A62" t="s">
        <v>444</v>
      </c>
      <c r="B62" t="s">
        <v>363</v>
      </c>
      <c r="C62">
        <v>0</v>
      </c>
      <c r="D62" s="48">
        <v>96127493.219999999</v>
      </c>
      <c r="E62" s="48">
        <v>128489144.41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 t="s">
        <v>445</v>
      </c>
      <c r="B63" t="s">
        <v>363</v>
      </c>
      <c r="C63">
        <v>0</v>
      </c>
      <c r="D63" s="48">
        <v>91549993.540000007</v>
      </c>
      <c r="E63" s="48">
        <v>203444430.09</v>
      </c>
      <c r="F63" s="48">
        <v>203444430.09</v>
      </c>
      <c r="G63" s="48">
        <v>203444430.09</v>
      </c>
      <c r="H63" s="48">
        <v>203444430.09</v>
      </c>
      <c r="I63" s="48">
        <v>203444430.09</v>
      </c>
      <c r="J63" s="48">
        <v>203444430.09</v>
      </c>
      <c r="K63" s="48">
        <v>203444430.09</v>
      </c>
      <c r="L63" s="48">
        <v>203444430.09</v>
      </c>
      <c r="M63" s="48">
        <v>203444430.09</v>
      </c>
      <c r="N63" s="48">
        <v>203444430.09</v>
      </c>
      <c r="O63" s="48">
        <v>203444430.09</v>
      </c>
      <c r="P63" s="48">
        <v>203444430.09</v>
      </c>
      <c r="Q63" s="48">
        <v>203444430.09</v>
      </c>
      <c r="R63" s="48">
        <v>203444430.09</v>
      </c>
      <c r="S63" s="48">
        <v>203444430.09</v>
      </c>
      <c r="T63" s="48">
        <v>203444430.09</v>
      </c>
      <c r="U63" s="48">
        <v>203444430.09</v>
      </c>
      <c r="V63" s="48">
        <v>203444430.09</v>
      </c>
      <c r="W63" s="48">
        <v>203444430.09</v>
      </c>
      <c r="X63" s="48">
        <v>203444430.09</v>
      </c>
      <c r="Y63" s="48">
        <v>203444430.09</v>
      </c>
      <c r="Z63" s="48">
        <v>203444430.09</v>
      </c>
      <c r="AA63" s="48">
        <v>203444430.09</v>
      </c>
      <c r="AB63" s="48">
        <v>203444430.09</v>
      </c>
      <c r="AC63" s="48">
        <v>203444430.09</v>
      </c>
      <c r="AD63" s="48">
        <v>203444430.09</v>
      </c>
      <c r="AE63" s="48">
        <v>203444430.09</v>
      </c>
      <c r="AF63" s="48">
        <v>203444430.09</v>
      </c>
      <c r="AG63" s="48">
        <v>203444430.09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 t="s">
        <v>446</v>
      </c>
      <c r="B64" t="s">
        <v>296</v>
      </c>
      <c r="C64">
        <v>0</v>
      </c>
      <c r="D64" s="48">
        <v>96127493.219999999</v>
      </c>
      <c r="E64" s="48">
        <v>118316922.90000001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 t="s">
        <v>447</v>
      </c>
      <c r="B65" t="s">
        <v>296</v>
      </c>
      <c r="C65">
        <v>0</v>
      </c>
      <c r="D65" s="48">
        <v>96127493.219999999</v>
      </c>
      <c r="E65" s="48">
        <v>214444416.12</v>
      </c>
      <c r="F65" s="48">
        <v>214444416.12</v>
      </c>
      <c r="G65" s="48">
        <v>214444416.12</v>
      </c>
      <c r="H65" s="48">
        <v>214444416.12</v>
      </c>
      <c r="I65" s="48">
        <v>214444416.12</v>
      </c>
      <c r="J65" s="48">
        <v>214444416.12</v>
      </c>
      <c r="K65" s="48">
        <v>214444416.12</v>
      </c>
      <c r="L65" s="48">
        <v>214444416.12</v>
      </c>
      <c r="M65" s="48">
        <v>214444416.12</v>
      </c>
      <c r="N65" s="48">
        <v>214444416.12</v>
      </c>
      <c r="O65" s="48">
        <v>214444416.12</v>
      </c>
      <c r="P65" s="48">
        <v>214444416.12</v>
      </c>
      <c r="Q65" s="48">
        <v>214444416.12</v>
      </c>
      <c r="R65" s="48">
        <v>214444416.12</v>
      </c>
      <c r="S65" s="48">
        <v>214444416.12</v>
      </c>
      <c r="T65" s="48">
        <v>214444416.12</v>
      </c>
      <c r="U65" s="48">
        <v>214444416.12</v>
      </c>
      <c r="V65" s="48">
        <v>214444416.12</v>
      </c>
      <c r="W65" s="48">
        <v>214444416.12</v>
      </c>
      <c r="X65" s="48">
        <v>214444416.12</v>
      </c>
      <c r="Y65" s="48">
        <v>214444416.12</v>
      </c>
      <c r="Z65" s="48">
        <v>214444416.12</v>
      </c>
      <c r="AA65" s="48">
        <v>214444416.12</v>
      </c>
      <c r="AB65" s="48">
        <v>214444416.12</v>
      </c>
      <c r="AC65" s="48">
        <v>214444416.12</v>
      </c>
      <c r="AD65" s="48">
        <v>214444416.12</v>
      </c>
      <c r="AE65" s="48">
        <v>214444416.12</v>
      </c>
      <c r="AF65" s="48">
        <v>214444416.12</v>
      </c>
      <c r="AG65" s="48">
        <v>214444416.12</v>
      </c>
      <c r="AH65" s="48">
        <v>214444416.12</v>
      </c>
      <c r="AI65" s="48">
        <v>214444416.12</v>
      </c>
      <c r="AJ65" s="48">
        <v>214444416.12</v>
      </c>
      <c r="AK65" s="48">
        <v>214444416.12</v>
      </c>
      <c r="AL65" s="48">
        <v>214444416.12</v>
      </c>
      <c r="AM65" s="48">
        <v>214444416.12</v>
      </c>
      <c r="AN65" s="48">
        <v>214444416.12</v>
      </c>
      <c r="AO65" s="48">
        <v>214444416.12</v>
      </c>
      <c r="AP65" s="48">
        <v>214444416.12</v>
      </c>
      <c r="AQ65" s="48">
        <v>214444416.12</v>
      </c>
      <c r="AR65" s="48">
        <v>214444416.12</v>
      </c>
      <c r="AS65" s="48">
        <v>214444416.12</v>
      </c>
      <c r="AT65" s="48">
        <v>214444416.12</v>
      </c>
      <c r="AU65" s="48">
        <v>214444416.12</v>
      </c>
      <c r="AV65" s="48">
        <v>214444416.12</v>
      </c>
      <c r="AW65" s="48">
        <v>214444416.12</v>
      </c>
      <c r="AX65" s="48">
        <v>214444416.12</v>
      </c>
      <c r="AY65" s="48">
        <v>214444416.12</v>
      </c>
      <c r="AZ65" s="48">
        <v>214444416.12</v>
      </c>
      <c r="BA65" s="48">
        <v>214444416.12</v>
      </c>
    </row>
    <row r="66" spans="1:53" x14ac:dyDescent="0.3">
      <c r="A66" t="s">
        <v>448</v>
      </c>
      <c r="B66" t="s">
        <v>296</v>
      </c>
      <c r="E66" s="48">
        <v>10172221.5</v>
      </c>
    </row>
    <row r="71" spans="1:53" x14ac:dyDescent="0.3">
      <c r="A71" t="s">
        <v>449</v>
      </c>
      <c r="B71" t="s">
        <v>363</v>
      </c>
      <c r="C71">
        <v>0</v>
      </c>
      <c r="D71">
        <v>0</v>
      </c>
      <c r="E71" s="48">
        <v>64826361.950000003</v>
      </c>
      <c r="F71" s="48">
        <v>434098568.85000002</v>
      </c>
      <c r="G71" s="48">
        <v>447210614.18000001</v>
      </c>
      <c r="H71" s="48">
        <v>460719138.94999999</v>
      </c>
      <c r="I71" s="48">
        <v>474636146.69999999</v>
      </c>
      <c r="J71" s="48">
        <v>488974004.85000002</v>
      </c>
      <c r="K71" s="48">
        <v>503745455.81999999</v>
      </c>
      <c r="L71" s="48">
        <v>518963628.41000003</v>
      </c>
      <c r="M71" s="48">
        <v>534642049.48000002</v>
      </c>
      <c r="N71" s="48">
        <v>550794656.12</v>
      </c>
      <c r="O71" s="48">
        <v>567435808.02999997</v>
      </c>
      <c r="P71" s="48">
        <v>584580300.42999995</v>
      </c>
      <c r="Q71" s="48">
        <v>602243377.24000001</v>
      </c>
      <c r="R71" s="48">
        <v>620440744.72000003</v>
      </c>
      <c r="S71" s="48">
        <v>639188585.53999996</v>
      </c>
      <c r="T71" s="48">
        <v>658503573.24000001</v>
      </c>
      <c r="U71" s="48">
        <v>678402887.12</v>
      </c>
      <c r="V71" s="48">
        <v>698904227.64999998</v>
      </c>
      <c r="W71" s="48">
        <v>720025832.27999997</v>
      </c>
      <c r="X71" s="48">
        <v>741786491.77999997</v>
      </c>
      <c r="Y71" s="48">
        <v>764205567.01999998</v>
      </c>
      <c r="Z71" s="48">
        <v>787303006.33000004</v>
      </c>
      <c r="AA71" s="48">
        <v>811099363.36000001</v>
      </c>
      <c r="AB71" s="48">
        <v>835615815.42999995</v>
      </c>
      <c r="AC71" s="48">
        <v>860874182.55999994</v>
      </c>
      <c r="AD71" s="48">
        <v>886896946.94000006</v>
      </c>
      <c r="AE71" s="48">
        <v>913707273.12</v>
      </c>
      <c r="AF71" s="48">
        <v>941329028.70000005</v>
      </c>
      <c r="AG71" s="48">
        <v>969786805.76999998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 t="s">
        <v>450</v>
      </c>
      <c r="B72" t="s">
        <v>296</v>
      </c>
      <c r="C72">
        <v>0</v>
      </c>
      <c r="E72" s="48">
        <v>2452296.77</v>
      </c>
      <c r="F72" s="48">
        <v>16497826.51</v>
      </c>
      <c r="G72" s="48">
        <v>17075250.440000001</v>
      </c>
      <c r="H72" s="48">
        <v>17672884.199999999</v>
      </c>
      <c r="I72" s="48">
        <v>18291435.149999999</v>
      </c>
      <c r="J72" s="48">
        <v>18931635.379999999</v>
      </c>
      <c r="K72" s="48">
        <v>19594242.620000001</v>
      </c>
      <c r="L72" s="48">
        <v>20280041.109999999</v>
      </c>
      <c r="M72" s="48">
        <v>20989842.550000001</v>
      </c>
      <c r="N72" s="48">
        <v>21724487.039999999</v>
      </c>
      <c r="O72" s="48">
        <v>22484844.079999998</v>
      </c>
      <c r="P72" s="48">
        <v>23271813.629999999</v>
      </c>
      <c r="Q72" s="48">
        <v>24086327.100000001</v>
      </c>
      <c r="R72" s="48">
        <v>24929348.550000001</v>
      </c>
      <c r="S72" s="48">
        <v>25801875.75</v>
      </c>
      <c r="T72" s="48">
        <v>26704941.399999999</v>
      </c>
      <c r="U72" s="48">
        <v>27639614.350000001</v>
      </c>
      <c r="V72" s="48">
        <v>28607000.859999999</v>
      </c>
      <c r="W72" s="48">
        <v>29608245.890000001</v>
      </c>
      <c r="X72" s="48">
        <v>30644534.489999998</v>
      </c>
      <c r="Y72" s="48">
        <v>31717093.199999999</v>
      </c>
      <c r="Z72" s="48">
        <v>32827191.460000001</v>
      </c>
      <c r="AA72" s="48">
        <v>33976143.159999996</v>
      </c>
      <c r="AB72" s="48">
        <v>35165308.170000002</v>
      </c>
      <c r="AC72" s="48">
        <v>36396093.960000001</v>
      </c>
      <c r="AD72" s="48">
        <v>37669957.25</v>
      </c>
      <c r="AE72" s="48">
        <v>38988405.75</v>
      </c>
      <c r="AF72" s="48">
        <v>40352999.950000003</v>
      </c>
      <c r="AG72" s="48">
        <v>41765354.950000003</v>
      </c>
    </row>
    <row r="73" spans="1:53" x14ac:dyDescent="0.3">
      <c r="A73" t="s">
        <v>451</v>
      </c>
      <c r="B73" t="s">
        <v>296</v>
      </c>
      <c r="C73">
        <v>0</v>
      </c>
      <c r="E73" s="48">
        <v>124043.69</v>
      </c>
      <c r="F73" s="48">
        <v>830472.52</v>
      </c>
      <c r="G73" s="48">
        <v>855386.7</v>
      </c>
      <c r="H73" s="48">
        <v>881048.3</v>
      </c>
      <c r="I73" s="48">
        <v>907479.75</v>
      </c>
      <c r="J73" s="48">
        <v>934704.14</v>
      </c>
      <c r="K73" s="48">
        <v>962745.26</v>
      </c>
      <c r="L73" s="48">
        <v>991627.62</v>
      </c>
      <c r="M73" s="48">
        <v>1021376.45</v>
      </c>
      <c r="N73" s="48">
        <v>1052017.74</v>
      </c>
      <c r="O73" s="48">
        <v>1083578.27</v>
      </c>
      <c r="P73" s="48">
        <v>1116085.6200000001</v>
      </c>
      <c r="Q73" s="48">
        <v>1149568.19</v>
      </c>
      <c r="R73" s="48">
        <v>1184055.24</v>
      </c>
      <c r="S73" s="48">
        <v>1219576.8899999999</v>
      </c>
      <c r="T73" s="48">
        <v>1256164.2</v>
      </c>
      <c r="U73" s="48">
        <v>1293849.1299999999</v>
      </c>
      <c r="V73" s="48">
        <v>1332664.6000000001</v>
      </c>
      <c r="W73" s="48">
        <v>1372644.54</v>
      </c>
      <c r="X73" s="48">
        <v>1413823.87</v>
      </c>
      <c r="Y73" s="48">
        <v>1456238.59</v>
      </c>
      <c r="Z73" s="48">
        <v>1499925.75</v>
      </c>
      <c r="AA73" s="48">
        <v>1544923.52</v>
      </c>
      <c r="AB73" s="48">
        <v>1591271.23</v>
      </c>
      <c r="AC73" s="48">
        <v>1639009.36</v>
      </c>
      <c r="AD73" s="48">
        <v>1688179.64</v>
      </c>
      <c r="AE73" s="48">
        <v>1738825.03</v>
      </c>
      <c r="AF73" s="48">
        <v>1790989.78</v>
      </c>
      <c r="AG73" s="48">
        <v>1844719.48</v>
      </c>
    </row>
    <row r="74" spans="1:53" x14ac:dyDescent="0.3">
      <c r="A74" t="s">
        <v>452</v>
      </c>
      <c r="B74" t="s">
        <v>296</v>
      </c>
      <c r="C74">
        <v>0</v>
      </c>
      <c r="E74" s="48">
        <v>323166.46000000002</v>
      </c>
      <c r="F74" s="48">
        <v>2163599.46</v>
      </c>
      <c r="G74" s="48">
        <v>2228507.44</v>
      </c>
      <c r="H74" s="48">
        <v>2295362.67</v>
      </c>
      <c r="I74" s="48">
        <v>2364223.5499999998</v>
      </c>
      <c r="J74" s="48">
        <v>2435150.25</v>
      </c>
      <c r="K74" s="48">
        <v>2508204.7599999998</v>
      </c>
      <c r="L74" s="48">
        <v>2583450.9</v>
      </c>
      <c r="M74" s="48">
        <v>2660954.4300000002</v>
      </c>
      <c r="N74" s="48">
        <v>2740783.06</v>
      </c>
      <c r="O74" s="48">
        <v>2823006.56</v>
      </c>
      <c r="P74" s="48">
        <v>2907696.75</v>
      </c>
      <c r="Q74" s="48">
        <v>2994927.66</v>
      </c>
      <c r="R74" s="48">
        <v>3084775.48</v>
      </c>
      <c r="S74" s="48">
        <v>3177318.75</v>
      </c>
      <c r="T74" s="48">
        <v>3272638.31</v>
      </c>
      <c r="U74" s="48">
        <v>3370817.46</v>
      </c>
      <c r="V74" s="48">
        <v>3471941.99</v>
      </c>
      <c r="W74" s="48">
        <v>3576100.24</v>
      </c>
      <c r="X74" s="48">
        <v>3683383.25</v>
      </c>
      <c r="Y74" s="48">
        <v>3793884.75</v>
      </c>
      <c r="Z74" s="48">
        <v>3907701.29</v>
      </c>
      <c r="AA74" s="48">
        <v>4024932.33</v>
      </c>
      <c r="AB74" s="48">
        <v>4145680.3</v>
      </c>
      <c r="AC74" s="48">
        <v>4270050.71</v>
      </c>
      <c r="AD74" s="48">
        <v>4398152.2300000004</v>
      </c>
      <c r="AE74" s="48">
        <v>4530096.8</v>
      </c>
      <c r="AF74" s="48">
        <v>4665999.7</v>
      </c>
      <c r="AG74" s="48">
        <v>4805979.6900000004</v>
      </c>
    </row>
    <row r="75" spans="1:53" x14ac:dyDescent="0.3">
      <c r="A75" t="s">
        <v>453</v>
      </c>
      <c r="B75" t="s">
        <v>296</v>
      </c>
      <c r="C75">
        <v>0</v>
      </c>
      <c r="E75" s="48">
        <v>56870286.289999999</v>
      </c>
      <c r="F75" s="48">
        <v>380746566.69</v>
      </c>
      <c r="G75" s="48">
        <v>392168963.69</v>
      </c>
      <c r="H75" s="48">
        <v>403934032.60000002</v>
      </c>
      <c r="I75" s="48">
        <v>416052053.57999998</v>
      </c>
      <c r="J75" s="48">
        <v>428533615.19</v>
      </c>
      <c r="K75" s="48">
        <v>441389623.64999998</v>
      </c>
      <c r="L75" s="48">
        <v>454631312.35000002</v>
      </c>
      <c r="M75" s="48">
        <v>468270251.73000002</v>
      </c>
      <c r="N75" s="48">
        <v>482318359.27999997</v>
      </c>
      <c r="O75" s="48">
        <v>496787910.06</v>
      </c>
      <c r="P75" s="48">
        <v>511691547.36000001</v>
      </c>
      <c r="Q75" s="48">
        <v>527042293.77999997</v>
      </c>
      <c r="R75" s="48">
        <v>542853562.59000003</v>
      </c>
      <c r="S75" s="48">
        <v>559139169.47000003</v>
      </c>
      <c r="T75" s="48">
        <v>575913344.54999995</v>
      </c>
      <c r="U75" s="48">
        <v>593190744.88999999</v>
      </c>
      <c r="V75" s="48">
        <v>610986467.24000001</v>
      </c>
      <c r="W75" s="48">
        <v>629316061.25</v>
      </c>
      <c r="X75" s="48">
        <v>648195543.09000003</v>
      </c>
      <c r="Y75" s="48">
        <v>667641409.38</v>
      </c>
      <c r="Z75" s="48">
        <v>687670651.66999996</v>
      </c>
      <c r="AA75" s="48">
        <v>708300771.22000003</v>
      </c>
      <c r="AB75" s="48">
        <v>729549794.35000002</v>
      </c>
      <c r="AC75" s="48">
        <v>751436288.17999995</v>
      </c>
      <c r="AD75" s="48">
        <v>773979376.83000004</v>
      </c>
      <c r="AE75" s="48">
        <v>797198758.13</v>
      </c>
      <c r="AF75" s="48">
        <v>821114720.88</v>
      </c>
      <c r="AG75" s="48">
        <v>845748162.5</v>
      </c>
    </row>
    <row r="76" spans="1:53" x14ac:dyDescent="0.3">
      <c r="A76" t="s">
        <v>454</v>
      </c>
      <c r="B76" t="s">
        <v>296</v>
      </c>
      <c r="C76">
        <v>0</v>
      </c>
      <c r="D76">
        <v>0</v>
      </c>
      <c r="E76" s="48">
        <v>31010.92</v>
      </c>
      <c r="F76" s="48">
        <v>207618.13</v>
      </c>
      <c r="G76" s="48">
        <v>213846.67</v>
      </c>
      <c r="H76" s="48">
        <v>220262.07</v>
      </c>
      <c r="I76" s="48">
        <v>226869.94</v>
      </c>
      <c r="J76" s="48">
        <v>233676.03</v>
      </c>
      <c r="K76" s="48">
        <v>240686.32</v>
      </c>
      <c r="L76" s="48">
        <v>247906.9</v>
      </c>
      <c r="M76" s="48">
        <v>255344.11</v>
      </c>
      <c r="N76" s="48">
        <v>263004.44</v>
      </c>
      <c r="O76" s="48">
        <v>270894.57</v>
      </c>
      <c r="P76" s="48">
        <v>279021.40999999997</v>
      </c>
      <c r="Q76" s="48">
        <v>287392.05</v>
      </c>
      <c r="R76" s="48">
        <v>296013.81</v>
      </c>
      <c r="S76" s="48">
        <v>304894.21999999997</v>
      </c>
      <c r="T76" s="48">
        <v>314041.05</v>
      </c>
      <c r="U76" s="48">
        <v>323462.28000000003</v>
      </c>
      <c r="V76" s="48">
        <v>333166.15000000002</v>
      </c>
      <c r="W76" s="48">
        <v>343161.13</v>
      </c>
      <c r="X76" s="48">
        <v>353455.97</v>
      </c>
      <c r="Y76" s="48">
        <v>364059.65</v>
      </c>
      <c r="Z76" s="48">
        <v>374981.44</v>
      </c>
      <c r="AA76" s="48">
        <v>386230.88</v>
      </c>
      <c r="AB76" s="48">
        <v>397817.81</v>
      </c>
      <c r="AC76" s="48">
        <v>409752.34</v>
      </c>
      <c r="AD76" s="48">
        <v>422044.91</v>
      </c>
      <c r="AE76" s="48">
        <v>434706.26</v>
      </c>
      <c r="AF76" s="48">
        <v>447747.45</v>
      </c>
      <c r="AG76" s="48">
        <v>461179.87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3">
      <c r="A77" t="s">
        <v>455</v>
      </c>
      <c r="B77" t="s">
        <v>296</v>
      </c>
      <c r="C77">
        <v>0</v>
      </c>
      <c r="D77">
        <v>0</v>
      </c>
      <c r="E77" s="48">
        <v>223605.08</v>
      </c>
      <c r="F77" s="48">
        <v>1497035.99</v>
      </c>
      <c r="G77" s="48">
        <v>1541947.07</v>
      </c>
      <c r="H77" s="48">
        <v>1588205.48</v>
      </c>
      <c r="I77" s="48">
        <v>1635851.65</v>
      </c>
      <c r="J77" s="48">
        <v>1684927.2</v>
      </c>
      <c r="K77" s="48">
        <v>1735475.01</v>
      </c>
      <c r="L77" s="48">
        <v>1787539.26</v>
      </c>
      <c r="M77" s="48">
        <v>1841165.44</v>
      </c>
      <c r="N77" s="48">
        <v>1896400.4</v>
      </c>
      <c r="O77" s="48">
        <v>1953292.41</v>
      </c>
      <c r="P77" s="48">
        <v>2011891.19</v>
      </c>
      <c r="Q77" s="48">
        <v>2072247.92</v>
      </c>
      <c r="R77" s="48">
        <v>2134415.3599999999</v>
      </c>
      <c r="S77" s="48">
        <v>2198447.8199999998</v>
      </c>
      <c r="T77" s="48">
        <v>2264401.2599999998</v>
      </c>
      <c r="U77" s="48">
        <v>2332333.29</v>
      </c>
      <c r="V77" s="48">
        <v>2402303.29</v>
      </c>
      <c r="W77" s="48">
        <v>2474372.39</v>
      </c>
      <c r="X77" s="48">
        <v>2548603.56</v>
      </c>
      <c r="Y77" s="48">
        <v>2625061.67</v>
      </c>
      <c r="Z77" s="48">
        <v>2703813.52</v>
      </c>
      <c r="AA77" s="48">
        <v>2784927.93</v>
      </c>
      <c r="AB77" s="48">
        <v>2868475.76</v>
      </c>
      <c r="AC77" s="48">
        <v>2954530.04</v>
      </c>
      <c r="AD77" s="48">
        <v>3043165.94</v>
      </c>
      <c r="AE77" s="48">
        <v>3134460.92</v>
      </c>
      <c r="AF77" s="48">
        <v>3228494.74</v>
      </c>
      <c r="AG77" s="48">
        <v>3325349.59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 t="s">
        <v>456</v>
      </c>
      <c r="B78" t="s">
        <v>296</v>
      </c>
      <c r="C78">
        <v>0</v>
      </c>
      <c r="D78">
        <v>0</v>
      </c>
      <c r="E78" s="48">
        <v>60024409.210000001</v>
      </c>
      <c r="F78" s="48">
        <v>401943119.30000001</v>
      </c>
      <c r="G78" s="48">
        <v>414083902.00999999</v>
      </c>
      <c r="H78" s="48">
        <v>426591795.32999998</v>
      </c>
      <c r="I78" s="48">
        <v>439477913.61000001</v>
      </c>
      <c r="J78" s="48">
        <v>452753708.19</v>
      </c>
      <c r="K78" s="48">
        <v>466430977.61000001</v>
      </c>
      <c r="L78" s="48">
        <v>480521878.16000003</v>
      </c>
      <c r="M78" s="48">
        <v>495038934.70999998</v>
      </c>
      <c r="N78" s="48">
        <v>509995051.95999998</v>
      </c>
      <c r="O78" s="48">
        <v>525403525.94999999</v>
      </c>
      <c r="P78" s="48">
        <v>541278055.95000005</v>
      </c>
      <c r="Q78" s="48">
        <v>557632756.70000005</v>
      </c>
      <c r="R78" s="48">
        <v>574482171.03999996</v>
      </c>
      <c r="S78" s="48">
        <v>591841282.90999997</v>
      </c>
      <c r="T78" s="48">
        <v>609725530.77999997</v>
      </c>
      <c r="U78" s="48">
        <v>628150821.40999997</v>
      </c>
      <c r="V78" s="48">
        <v>647133544.12</v>
      </c>
      <c r="W78" s="48">
        <v>666690585.45000005</v>
      </c>
      <c r="X78" s="48">
        <v>686839344.24000001</v>
      </c>
      <c r="Y78" s="48">
        <v>707597747.24000001</v>
      </c>
      <c r="Z78" s="48">
        <v>728984265.12</v>
      </c>
      <c r="AA78" s="48">
        <v>751017929.02999997</v>
      </c>
      <c r="AB78" s="48">
        <v>773718347.62</v>
      </c>
      <c r="AC78" s="48">
        <v>797105724.59000003</v>
      </c>
      <c r="AD78" s="48">
        <v>821200876.79999995</v>
      </c>
      <c r="AE78" s="48">
        <v>846025252.88999999</v>
      </c>
      <c r="AF78" s="48">
        <v>871600952.5</v>
      </c>
      <c r="AG78" s="48">
        <v>897950746.08000004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 t="s">
        <v>457</v>
      </c>
      <c r="B79" t="s">
        <v>296</v>
      </c>
      <c r="C79">
        <v>0</v>
      </c>
      <c r="D79">
        <v>0</v>
      </c>
      <c r="E79" s="48">
        <v>4801952.74</v>
      </c>
      <c r="F79" s="48">
        <v>32155449.539999999</v>
      </c>
      <c r="G79" s="48">
        <v>33126712.16</v>
      </c>
      <c r="H79" s="48">
        <v>34127343.630000003</v>
      </c>
      <c r="I79" s="48">
        <v>35158233.090000004</v>
      </c>
      <c r="J79" s="48">
        <v>36220296.659999996</v>
      </c>
      <c r="K79" s="48">
        <v>37314478.210000001</v>
      </c>
      <c r="L79" s="48">
        <v>38441750.25</v>
      </c>
      <c r="M79" s="48">
        <v>39603114.780000001</v>
      </c>
      <c r="N79" s="48">
        <v>40799604.159999996</v>
      </c>
      <c r="O79" s="48">
        <v>42032282.079999998</v>
      </c>
      <c r="P79" s="48">
        <v>43302244.479999997</v>
      </c>
      <c r="Q79" s="48">
        <v>44610620.539999999</v>
      </c>
      <c r="R79" s="48">
        <v>45958573.68</v>
      </c>
      <c r="S79" s="48">
        <v>47347302.630000003</v>
      </c>
      <c r="T79" s="48">
        <v>48778042.460000001</v>
      </c>
      <c r="U79" s="48">
        <v>50252065.710000001</v>
      </c>
      <c r="V79" s="48">
        <v>51770683.530000001</v>
      </c>
      <c r="W79" s="48">
        <v>53335246.840000004</v>
      </c>
      <c r="X79" s="48">
        <v>54947147.539999999</v>
      </c>
      <c r="Y79" s="48">
        <v>56607819.780000001</v>
      </c>
      <c r="Z79" s="48">
        <v>58318741.210000001</v>
      </c>
      <c r="AA79" s="48">
        <v>60081434.32</v>
      </c>
      <c r="AB79" s="48">
        <v>61897467.810000002</v>
      </c>
      <c r="AC79" s="48">
        <v>63768457.969999999</v>
      </c>
      <c r="AD79" s="48">
        <v>65696070.140000001</v>
      </c>
      <c r="AE79" s="48">
        <v>67682020.230000004</v>
      </c>
      <c r="AF79" s="48">
        <v>69728076.200000003</v>
      </c>
      <c r="AG79" s="48">
        <v>71836059.689999998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8" spans="1:53" x14ac:dyDescent="0.3">
      <c r="A88" t="s">
        <v>458</v>
      </c>
      <c r="B88" t="s">
        <v>363</v>
      </c>
      <c r="C88">
        <v>0</v>
      </c>
      <c r="D88" s="48">
        <v>-96127493.219999999</v>
      </c>
      <c r="E88" s="48">
        <v>-193315506.34999999</v>
      </c>
      <c r="F88" s="48">
        <v>464529094.95999998</v>
      </c>
      <c r="G88" s="48">
        <v>779416146.91999996</v>
      </c>
      <c r="H88" s="48">
        <v>827238960.20000005</v>
      </c>
      <c r="I88" s="48">
        <v>877719857.40999997</v>
      </c>
      <c r="J88" s="48">
        <v>930999799.47000003</v>
      </c>
      <c r="K88" s="48">
        <v>987227038.71000004</v>
      </c>
      <c r="L88" s="48">
        <v>1046557490.85</v>
      </c>
      <c r="M88" s="48">
        <v>1109155125.74</v>
      </c>
      <c r="N88" s="48">
        <v>1175192377.8599999</v>
      </c>
      <c r="O88" s="48">
        <v>1244850577.6500001</v>
      </c>
      <c r="P88" s="48">
        <v>1318320404.53</v>
      </c>
      <c r="Q88" s="48">
        <v>1395802362.98</v>
      </c>
      <c r="R88" s="48">
        <v>1477507282.5</v>
      </c>
      <c r="S88" s="48">
        <v>1563656843.04</v>
      </c>
      <c r="T88" s="48">
        <v>1654484126.77</v>
      </c>
      <c r="U88" s="48">
        <v>1750234197.8900001</v>
      </c>
      <c r="V88" s="48">
        <v>1851164711.6099999</v>
      </c>
      <c r="W88" s="48">
        <v>1957546553.9400001</v>
      </c>
      <c r="X88" s="48">
        <v>2069664513.76</v>
      </c>
      <c r="Y88" s="48">
        <v>2187817988.8000002</v>
      </c>
      <c r="Z88" s="48">
        <v>2312321727.27</v>
      </c>
      <c r="AA88" s="48">
        <v>2443506606.9299998</v>
      </c>
      <c r="AB88" s="48">
        <v>2581720453.3699999</v>
      </c>
      <c r="AC88" s="48">
        <v>2727328899.6799998</v>
      </c>
      <c r="AD88" s="48">
        <v>2880716289.4099998</v>
      </c>
      <c r="AE88" s="48">
        <v>3042286625.0500002</v>
      </c>
      <c r="AF88" s="48">
        <v>3212464564.3699999</v>
      </c>
      <c r="AG88" s="48">
        <v>3391696466.9699998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90" spans="1:53" x14ac:dyDescent="0.3">
      <c r="A90" t="s">
        <v>459</v>
      </c>
      <c r="B90" t="s">
        <v>363</v>
      </c>
      <c r="C90">
        <v>0</v>
      </c>
      <c r="E90" s="48">
        <v>5425184.7999999998</v>
      </c>
      <c r="F90" s="48">
        <v>5425184.7999999998</v>
      </c>
      <c r="G90" s="48">
        <v>5425184.7999999998</v>
      </c>
      <c r="H90" s="48">
        <v>5425184.7999999998</v>
      </c>
      <c r="I90" s="48">
        <v>5425184.7999999998</v>
      </c>
      <c r="J90" s="48">
        <v>5425184.7999999998</v>
      </c>
      <c r="K90" s="48">
        <v>5425184.7999999998</v>
      </c>
      <c r="L90" s="48">
        <v>5425184.7999999998</v>
      </c>
      <c r="M90" s="48">
        <v>5425184.7999999998</v>
      </c>
      <c r="N90" s="48">
        <v>5425184.7999999998</v>
      </c>
      <c r="O90" s="48">
        <v>5425184.7999999998</v>
      </c>
      <c r="P90" s="48">
        <v>5425184.7999999998</v>
      </c>
      <c r="Q90" s="48">
        <v>5425184.7999999998</v>
      </c>
      <c r="R90" s="48">
        <v>5425184.7999999998</v>
      </c>
      <c r="S90" s="48">
        <v>5425184.7999999998</v>
      </c>
      <c r="T90" s="48">
        <v>5425184.7999999998</v>
      </c>
      <c r="U90" s="48">
        <v>5425184.7999999998</v>
      </c>
      <c r="V90" s="48">
        <v>5425184.7999999998</v>
      </c>
      <c r="W90" s="48">
        <v>5425184.7999999998</v>
      </c>
      <c r="X90" s="48">
        <v>5425184.7999999998</v>
      </c>
      <c r="Y90" s="48">
        <v>5425184.7999999998</v>
      </c>
      <c r="Z90" s="48">
        <v>5425184.7999999998</v>
      </c>
      <c r="AA90" s="48">
        <v>5425184.7999999998</v>
      </c>
      <c r="AB90" s="48">
        <v>5425184.7999999998</v>
      </c>
      <c r="AC90" s="48">
        <v>5425184.7999999998</v>
      </c>
      <c r="AD90" s="48">
        <v>5425184.7999999998</v>
      </c>
      <c r="AE90" s="48">
        <v>5425184.7999999998</v>
      </c>
      <c r="AF90" s="48">
        <v>5425184.7999999998</v>
      </c>
      <c r="AG90" s="48">
        <v>5425184.7999999998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 t="s">
        <v>460</v>
      </c>
      <c r="B91" t="s">
        <v>363</v>
      </c>
      <c r="C91">
        <v>0</v>
      </c>
      <c r="D91" s="48">
        <v>-96127493.219999999</v>
      </c>
      <c r="E91" s="48">
        <v>-198740691.16</v>
      </c>
      <c r="F91" s="48">
        <v>459103910.16000003</v>
      </c>
      <c r="G91" s="48">
        <v>773990962.12</v>
      </c>
      <c r="H91" s="48">
        <v>821813775.39999998</v>
      </c>
      <c r="I91" s="48">
        <v>872294672.61000001</v>
      </c>
      <c r="J91" s="48">
        <v>925574614.66999996</v>
      </c>
      <c r="K91" s="48">
        <v>981801853.89999998</v>
      </c>
      <c r="L91" s="48">
        <v>1041132306.05</v>
      </c>
      <c r="M91" s="48">
        <v>1103729940.9300001</v>
      </c>
      <c r="N91" s="48">
        <v>1169767193.0599999</v>
      </c>
      <c r="O91" s="48">
        <v>1239425392.8499999</v>
      </c>
      <c r="P91" s="48">
        <v>1312895219.73</v>
      </c>
      <c r="Q91" s="48">
        <v>1390377178.1700001</v>
      </c>
      <c r="R91" s="48">
        <v>1472082097.7</v>
      </c>
      <c r="S91" s="48">
        <v>1558231658.24</v>
      </c>
      <c r="T91" s="48">
        <v>1649058941.97</v>
      </c>
      <c r="U91" s="48">
        <v>1744809013.0899999</v>
      </c>
      <c r="V91" s="48">
        <v>1845739526.8099999</v>
      </c>
      <c r="W91" s="48">
        <v>1952121369.1400001</v>
      </c>
      <c r="X91" s="48">
        <v>2064239328.96</v>
      </c>
      <c r="Y91" s="48">
        <v>2182392803.9899998</v>
      </c>
      <c r="Z91" s="48">
        <v>2306896542.4699998</v>
      </c>
      <c r="AA91" s="48">
        <v>2438081422.1300001</v>
      </c>
      <c r="AB91" s="48">
        <v>2576295268.5700002</v>
      </c>
      <c r="AC91" s="48">
        <v>2721903714.8800001</v>
      </c>
      <c r="AD91" s="48">
        <v>2875291104.6100001</v>
      </c>
      <c r="AE91" s="48">
        <v>3036861440.25</v>
      </c>
      <c r="AF91" s="48">
        <v>3207039379.5700002</v>
      </c>
      <c r="AG91" s="48">
        <v>3386271282.1599998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3">
      <c r="A92" t="s">
        <v>461</v>
      </c>
      <c r="B92" t="s">
        <v>363</v>
      </c>
      <c r="C92">
        <v>0</v>
      </c>
      <c r="D92">
        <v>0</v>
      </c>
      <c r="E92">
        <v>0</v>
      </c>
      <c r="F92" s="48">
        <v>160686368.56</v>
      </c>
      <c r="G92" s="48">
        <v>270896836.74000001</v>
      </c>
      <c r="H92" s="48">
        <v>287634821.38999999</v>
      </c>
      <c r="I92" s="48">
        <v>305303135.41000003</v>
      </c>
      <c r="J92" s="48">
        <v>323951115.13</v>
      </c>
      <c r="K92" s="48">
        <v>343630648.87</v>
      </c>
      <c r="L92" s="48">
        <v>364396307.12</v>
      </c>
      <c r="M92" s="48">
        <v>386305479.32999998</v>
      </c>
      <c r="N92" s="48">
        <v>409418517.56999999</v>
      </c>
      <c r="O92" s="48">
        <v>433798887.5</v>
      </c>
      <c r="P92" s="48">
        <v>459513326.91000003</v>
      </c>
      <c r="Q92" s="48">
        <v>486632012.36000001</v>
      </c>
      <c r="R92" s="48">
        <v>515228734.19999999</v>
      </c>
      <c r="S92" s="48">
        <v>545381080.38</v>
      </c>
      <c r="T92" s="48">
        <v>577170629.69000006</v>
      </c>
      <c r="U92" s="48">
        <v>610683154.58000004</v>
      </c>
      <c r="V92" s="48">
        <v>646008834.38</v>
      </c>
      <c r="W92" s="48">
        <v>683242479.20000005</v>
      </c>
      <c r="X92" s="48">
        <v>722483765.13</v>
      </c>
      <c r="Y92" s="48">
        <v>763837481.39999998</v>
      </c>
      <c r="Z92" s="48">
        <v>807413789.86000001</v>
      </c>
      <c r="AA92" s="48">
        <v>853328497.74000001</v>
      </c>
      <c r="AB92" s="48">
        <v>901703344</v>
      </c>
      <c r="AC92" s="48">
        <v>952666300.21000004</v>
      </c>
      <c r="AD92" s="48">
        <v>1006351886.61</v>
      </c>
      <c r="AE92" s="48">
        <v>1062901504.09</v>
      </c>
      <c r="AF92" s="48">
        <v>1122463782.8499999</v>
      </c>
      <c r="AG92" s="48">
        <v>1185194948.76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 t="s">
        <v>462</v>
      </c>
      <c r="B93" t="s">
        <v>363</v>
      </c>
      <c r="C93">
        <v>0</v>
      </c>
      <c r="D93" s="48">
        <v>-96127493.219999999</v>
      </c>
      <c r="E93" s="48">
        <v>-198740691.16</v>
      </c>
      <c r="F93" s="48">
        <v>298417541.60000002</v>
      </c>
      <c r="G93" s="48">
        <v>503094125.38</v>
      </c>
      <c r="H93" s="48">
        <v>534178954.00999999</v>
      </c>
      <c r="I93" s="48">
        <v>566991537.20000005</v>
      </c>
      <c r="J93" s="48">
        <v>601623499.52999997</v>
      </c>
      <c r="K93" s="48">
        <v>638171205.03999996</v>
      </c>
      <c r="L93" s="48">
        <v>676735998.92999995</v>
      </c>
      <c r="M93" s="48">
        <v>717424461.61000001</v>
      </c>
      <c r="N93" s="48">
        <v>760348675.49000001</v>
      </c>
      <c r="O93" s="48">
        <v>805626505.35000002</v>
      </c>
      <c r="P93" s="48">
        <v>853381892.83000004</v>
      </c>
      <c r="Q93" s="48">
        <v>903745165.80999994</v>
      </c>
      <c r="R93" s="48">
        <v>956853363.50999999</v>
      </c>
      <c r="S93" s="48">
        <v>1012850577.85</v>
      </c>
      <c r="T93" s="48">
        <v>1071888312.28</v>
      </c>
      <c r="U93" s="48">
        <v>1134125858.51</v>
      </c>
      <c r="V93" s="48">
        <v>1199730692.4300001</v>
      </c>
      <c r="W93" s="48">
        <v>1268878889.9400001</v>
      </c>
      <c r="X93" s="48">
        <v>1341755563.8199999</v>
      </c>
      <c r="Y93" s="48">
        <v>1418555322.5999999</v>
      </c>
      <c r="Z93" s="48">
        <v>1499482752.6099999</v>
      </c>
      <c r="AA93" s="48">
        <v>1584752924.3800001</v>
      </c>
      <c r="AB93" s="48">
        <v>1674591924.5699999</v>
      </c>
      <c r="AC93" s="48">
        <v>1769237414.6700001</v>
      </c>
      <c r="AD93" s="48">
        <v>1868939217.99</v>
      </c>
      <c r="AE93" s="48">
        <v>1973959936.1600001</v>
      </c>
      <c r="AF93" s="48">
        <v>2084575596.72</v>
      </c>
      <c r="AG93" s="48">
        <v>2201076333.4099998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 t="s">
        <v>463</v>
      </c>
      <c r="B94" t="s">
        <v>363</v>
      </c>
      <c r="C94">
        <v>0</v>
      </c>
      <c r="D94" s="48">
        <v>-96127493.219999999</v>
      </c>
      <c r="E94" s="48">
        <v>-193315506.34999999</v>
      </c>
      <c r="F94" s="48">
        <v>303842726.41000003</v>
      </c>
      <c r="G94" s="48">
        <v>508519310.18000001</v>
      </c>
      <c r="H94" s="48">
        <v>539604138.80999994</v>
      </c>
      <c r="I94" s="48">
        <v>572416722</v>
      </c>
      <c r="J94" s="48">
        <v>607048684.33000004</v>
      </c>
      <c r="K94" s="48">
        <v>643596389.84000003</v>
      </c>
      <c r="L94" s="48">
        <v>682161183.73000002</v>
      </c>
      <c r="M94" s="48">
        <v>722849646.40999997</v>
      </c>
      <c r="N94" s="48">
        <v>765773860.28999996</v>
      </c>
      <c r="O94" s="48">
        <v>811051690.14999998</v>
      </c>
      <c r="P94" s="48">
        <v>858807077.63</v>
      </c>
      <c r="Q94" s="48">
        <v>909170350.62</v>
      </c>
      <c r="R94" s="48">
        <v>962278548.30999994</v>
      </c>
      <c r="S94" s="48">
        <v>1018275762.66</v>
      </c>
      <c r="T94" s="48">
        <v>1077313497.0799999</v>
      </c>
      <c r="U94" s="48">
        <v>1139551043.3099999</v>
      </c>
      <c r="V94" s="48">
        <v>1205155877.23</v>
      </c>
      <c r="W94" s="48">
        <v>1274304074.74</v>
      </c>
      <c r="X94" s="48">
        <v>1347180748.6199999</v>
      </c>
      <c r="Y94" s="48">
        <v>1423980507.4000001</v>
      </c>
      <c r="Z94" s="48">
        <v>1504907937.4100001</v>
      </c>
      <c r="AA94" s="48">
        <v>1590178109.1800001</v>
      </c>
      <c r="AB94" s="48">
        <v>1680017109.3699999</v>
      </c>
      <c r="AC94" s="48">
        <v>1774662599.47</v>
      </c>
      <c r="AD94" s="48">
        <v>1874364402.8</v>
      </c>
      <c r="AE94" s="48">
        <v>1979385120.96</v>
      </c>
      <c r="AF94" s="48">
        <v>2090000781.52</v>
      </c>
      <c r="AG94" s="48">
        <v>2206501518.21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 t="s">
        <v>464</v>
      </c>
      <c r="B95" t="s">
        <v>363</v>
      </c>
      <c r="C95">
        <v>0</v>
      </c>
      <c r="D95" s="48">
        <v>96127493.219999999</v>
      </c>
      <c r="E95" s="48">
        <v>193315506.34999999</v>
      </c>
      <c r="F95" s="48">
        <v>434098568.85000002</v>
      </c>
      <c r="G95" s="48">
        <v>447210614.18000001</v>
      </c>
      <c r="H95" s="48">
        <v>460719138.94999999</v>
      </c>
      <c r="I95" s="48">
        <v>474636146.69999999</v>
      </c>
      <c r="J95" s="48">
        <v>488974004.85000002</v>
      </c>
      <c r="K95" s="48">
        <v>503745455.81999999</v>
      </c>
      <c r="L95" s="48">
        <v>518963628.41000003</v>
      </c>
      <c r="M95" s="48">
        <v>534642049.48000002</v>
      </c>
      <c r="N95" s="48">
        <v>550794656.12</v>
      </c>
      <c r="O95" s="48">
        <v>567435808.02999997</v>
      </c>
      <c r="P95" s="48">
        <v>584580300.42999995</v>
      </c>
      <c r="Q95" s="48">
        <v>602243377.24000001</v>
      </c>
      <c r="R95" s="48">
        <v>620440744.72000003</v>
      </c>
      <c r="S95" s="48">
        <v>639188585.53999996</v>
      </c>
      <c r="T95" s="48">
        <v>658503573.24000001</v>
      </c>
      <c r="U95" s="48">
        <v>678402887.12</v>
      </c>
      <c r="V95" s="48">
        <v>698904227.64999998</v>
      </c>
      <c r="W95" s="48">
        <v>720025832.27999997</v>
      </c>
      <c r="X95" s="48">
        <v>741786491.77999997</v>
      </c>
      <c r="Y95" s="48">
        <v>764205567.01999998</v>
      </c>
      <c r="Z95" s="48">
        <v>787303006.33000004</v>
      </c>
      <c r="AA95" s="48">
        <v>811099363.36000001</v>
      </c>
      <c r="AB95" s="48">
        <v>835615815.42999995</v>
      </c>
      <c r="AC95" s="48">
        <v>860874182.55999994</v>
      </c>
      <c r="AD95" s="48">
        <v>886896946.94000006</v>
      </c>
      <c r="AE95" s="48">
        <v>913707273.12</v>
      </c>
      <c r="AF95" s="48">
        <v>941329028.70000005</v>
      </c>
      <c r="AG95" s="48">
        <v>969786805.76999998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 t="s">
        <v>465</v>
      </c>
      <c r="B96" t="s">
        <v>363</v>
      </c>
      <c r="C96">
        <v>0</v>
      </c>
      <c r="D96" s="48">
        <v>-96127493.219999999</v>
      </c>
      <c r="E96" s="48">
        <v>-193315506.34999999</v>
      </c>
      <c r="F96" s="48">
        <v>303842726.41000003</v>
      </c>
      <c r="G96" s="48">
        <v>508519310.18000001</v>
      </c>
      <c r="H96" s="48">
        <v>539604138.80999994</v>
      </c>
      <c r="I96" s="48">
        <v>572416722</v>
      </c>
      <c r="J96" s="48">
        <v>607048684.33000004</v>
      </c>
      <c r="K96" s="48">
        <v>643596389.84000003</v>
      </c>
      <c r="L96" s="48">
        <v>682161183.73000002</v>
      </c>
      <c r="M96" s="48">
        <v>722849646.40999997</v>
      </c>
      <c r="N96" s="48">
        <v>765773860.28999996</v>
      </c>
      <c r="O96" s="48">
        <v>811051690.14999998</v>
      </c>
      <c r="P96" s="48">
        <v>858807077.63</v>
      </c>
      <c r="Q96" s="48">
        <v>909170350.62</v>
      </c>
      <c r="R96" s="48">
        <v>962278548.30999994</v>
      </c>
      <c r="S96" s="48">
        <v>1018275762.66</v>
      </c>
      <c r="T96" s="48">
        <v>1077313497.0799999</v>
      </c>
      <c r="U96" s="48">
        <v>1139551043.3099999</v>
      </c>
      <c r="V96" s="48">
        <v>1205155877.23</v>
      </c>
      <c r="W96" s="48">
        <v>1274304074.74</v>
      </c>
      <c r="X96" s="48">
        <v>1347180748.6199999</v>
      </c>
      <c r="Y96" s="48">
        <v>1423980507.4000001</v>
      </c>
      <c r="Z96" s="48">
        <v>1504907937.4100001</v>
      </c>
      <c r="AA96" s="48">
        <v>1590178109.1800001</v>
      </c>
      <c r="AB96" s="48">
        <v>1680017109.3699999</v>
      </c>
      <c r="AC96" s="48">
        <v>1774662599.47</v>
      </c>
      <c r="AD96" s="48">
        <v>1874364402.8</v>
      </c>
      <c r="AE96" s="48">
        <v>1979385120.96</v>
      </c>
      <c r="AF96" s="48">
        <v>2090000781.52</v>
      </c>
      <c r="AG96" s="48">
        <v>2206501518.21</v>
      </c>
    </row>
    <row r="104" spans="1:53" x14ac:dyDescent="0.3">
      <c r="A104" t="s">
        <v>466</v>
      </c>
      <c r="B104" t="s">
        <v>363</v>
      </c>
      <c r="C104">
        <v>0</v>
      </c>
      <c r="D104">
        <v>0</v>
      </c>
      <c r="E104">
        <v>0</v>
      </c>
      <c r="F104" s="48">
        <v>898627663.80999994</v>
      </c>
      <c r="G104" s="48">
        <v>2197144638.0100002</v>
      </c>
      <c r="H104" s="48">
        <v>3660874308.1999998</v>
      </c>
      <c r="I104" s="48">
        <v>5306100256.96</v>
      </c>
      <c r="J104" s="48">
        <v>7150562081.8400002</v>
      </c>
      <c r="K104" s="48">
        <v>9213579542.9099998</v>
      </c>
      <c r="L104" s="48">
        <v>11516187025.6</v>
      </c>
      <c r="M104" s="48">
        <v>14081279162.870001</v>
      </c>
      <c r="N104" s="48">
        <v>16933768529.879999</v>
      </c>
      <c r="O104" s="48">
        <v>20100756397.950001</v>
      </c>
      <c r="P104" s="48">
        <v>23611717614.75</v>
      </c>
      <c r="Q104" s="48">
        <v>27498700764.139999</v>
      </c>
      <c r="R104" s="48">
        <v>31796544852.490002</v>
      </c>
      <c r="S104" s="48">
        <v>36543113869.279999</v>
      </c>
      <c r="T104" s="48">
        <v>41779550678.830002</v>
      </c>
      <c r="U104" s="48">
        <v>47550551818.150002</v>
      </c>
      <c r="V104" s="48">
        <v>53904664902.870003</v>
      </c>
      <c r="W104" s="48">
        <v>60894610481.32</v>
      </c>
      <c r="X104" s="48">
        <v>68577630325.360001</v>
      </c>
      <c r="Y104" s="48">
        <v>77015864307.210007</v>
      </c>
      <c r="Z104" s="48">
        <v>86276758185.389999</v>
      </c>
      <c r="AA104" s="48">
        <v>96433504810.509995</v>
      </c>
      <c r="AB104" s="48">
        <v>107565521464.14999</v>
      </c>
      <c r="AC104" s="48">
        <v>119758966263.52</v>
      </c>
      <c r="AD104" s="48">
        <v>133107296800.96001</v>
      </c>
      <c r="AE104" s="48">
        <v>147711874443.20001</v>
      </c>
      <c r="AF104" s="48">
        <v>163682617991.73999</v>
      </c>
      <c r="AG104" s="48">
        <v>181138710703.81</v>
      </c>
      <c r="AH104" s="48">
        <v>195629807560.10999</v>
      </c>
      <c r="AI104" s="48">
        <v>211280192164.92001</v>
      </c>
      <c r="AJ104" s="48">
        <v>228182607538.10999</v>
      </c>
      <c r="AK104" s="48">
        <v>246437216141.16</v>
      </c>
      <c r="AL104" s="48">
        <v>266152193432.45999</v>
      </c>
      <c r="AM104" s="48">
        <v>287444368907.04999</v>
      </c>
      <c r="AN104" s="48">
        <v>310439918419.62</v>
      </c>
      <c r="AO104" s="48">
        <v>335275111893.19</v>
      </c>
      <c r="AP104" s="48">
        <v>362097120844.64001</v>
      </c>
      <c r="AQ104" s="48">
        <v>391064890512.21002</v>
      </c>
      <c r="AR104" s="48">
        <v>422350081753.19</v>
      </c>
      <c r="AS104" s="48">
        <v>456138088293.45001</v>
      </c>
      <c r="AT104" s="48">
        <v>492629135356.91998</v>
      </c>
      <c r="AU104" s="48">
        <v>532039466185.47998</v>
      </c>
      <c r="AV104" s="48">
        <v>574602623480.31006</v>
      </c>
      <c r="AW104" s="48">
        <v>620570833358.73999</v>
      </c>
      <c r="AX104" s="48">
        <v>670216500027.43994</v>
      </c>
      <c r="AY104" s="48">
        <v>723833820029.63</v>
      </c>
      <c r="AZ104" s="48">
        <v>781740525632</v>
      </c>
      <c r="BA104" s="48">
        <v>844279767682.56995</v>
      </c>
    </row>
    <row r="105" spans="1:53" x14ac:dyDescent="0.3">
      <c r="A105" t="s">
        <v>467</v>
      </c>
      <c r="B105" t="s">
        <v>363</v>
      </c>
      <c r="C105">
        <v>0</v>
      </c>
      <c r="D105">
        <v>0</v>
      </c>
      <c r="E105">
        <v>0</v>
      </c>
      <c r="F105" s="48">
        <v>713359612.20000005</v>
      </c>
      <c r="G105" s="48">
        <v>1614966899.8499999</v>
      </c>
      <c r="H105" s="48">
        <v>2491529540.6100001</v>
      </c>
      <c r="I105" s="48">
        <v>3343743219.1399999</v>
      </c>
      <c r="J105" s="48">
        <v>4172284295.48</v>
      </c>
      <c r="K105" s="48">
        <v>4977810341.9200001</v>
      </c>
      <c r="L105" s="48">
        <v>5760960664.8500004</v>
      </c>
      <c r="M105" s="48">
        <v>6522356812.1400003</v>
      </c>
      <c r="N105" s="48">
        <v>7262603066.46</v>
      </c>
      <c r="O105" s="48">
        <v>7982286924.8199997</v>
      </c>
      <c r="P105" s="48">
        <v>8681979564.8899994</v>
      </c>
      <c r="Q105" s="48">
        <v>9362236298.2900009</v>
      </c>
      <c r="R105" s="48">
        <v>10023597011.32</v>
      </c>
      <c r="S105" s="48">
        <v>10666586593.440001</v>
      </c>
      <c r="T105" s="48">
        <v>11291715353.83</v>
      </c>
      <c r="U105" s="48">
        <v>11899479426.43</v>
      </c>
      <c r="V105" s="48">
        <v>12490361163.68</v>
      </c>
      <c r="W105" s="48">
        <v>13064829519.34</v>
      </c>
      <c r="X105" s="48">
        <v>13623340420.67</v>
      </c>
      <c r="Y105" s="48">
        <v>14166337130.299999</v>
      </c>
      <c r="Z105" s="48">
        <v>14694250598</v>
      </c>
      <c r="AA105" s="48">
        <v>15207499802.709999</v>
      </c>
      <c r="AB105" s="48">
        <v>15706492085.059999</v>
      </c>
      <c r="AC105" s="48">
        <v>16191623470.68</v>
      </c>
      <c r="AD105" s="48">
        <v>16663278984.48</v>
      </c>
      <c r="AE105" s="48">
        <v>17121832956.23</v>
      </c>
      <c r="AF105" s="48">
        <v>17567649317.650002</v>
      </c>
      <c r="AG105" s="48">
        <v>18001081891.25</v>
      </c>
      <c r="AH105" s="48">
        <v>18001081891.25</v>
      </c>
      <c r="AI105" s="48">
        <v>18001081891.25</v>
      </c>
      <c r="AJ105" s="48">
        <v>18001081891.25</v>
      </c>
      <c r="AK105" s="48">
        <v>18001081891.25</v>
      </c>
      <c r="AL105" s="48">
        <v>18001081891.25</v>
      </c>
      <c r="AM105" s="48">
        <v>18001081891.25</v>
      </c>
      <c r="AN105" s="48">
        <v>18001081891.25</v>
      </c>
      <c r="AO105" s="48">
        <v>18001081891.25</v>
      </c>
      <c r="AP105" s="48">
        <v>18001081891.25</v>
      </c>
      <c r="AQ105" s="48">
        <v>18001081891.25</v>
      </c>
      <c r="AR105" s="48">
        <v>18001081891.25</v>
      </c>
      <c r="AS105" s="48">
        <v>18001081891.25</v>
      </c>
      <c r="AT105" s="48">
        <v>18001081891.25</v>
      </c>
      <c r="AU105" s="48">
        <v>18001081891.25</v>
      </c>
      <c r="AV105" s="48">
        <v>18001081891.25</v>
      </c>
      <c r="AW105" s="48">
        <v>18001081891.25</v>
      </c>
      <c r="AX105" s="48">
        <v>18001081891.25</v>
      </c>
      <c r="AY105" s="48">
        <v>18001081891.25</v>
      </c>
      <c r="AZ105" s="48">
        <v>18001081891.25</v>
      </c>
      <c r="BA105" s="48">
        <v>18001081891.25</v>
      </c>
    </row>
    <row r="106" spans="1:53" x14ac:dyDescent="0.3">
      <c r="A106" t="s">
        <v>468</v>
      </c>
      <c r="B106" t="s">
        <v>363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 t="s">
        <v>469</v>
      </c>
      <c r="B107" t="s">
        <v>363</v>
      </c>
      <c r="C107">
        <v>0</v>
      </c>
      <c r="D107" s="48">
        <v>89006938.159999996</v>
      </c>
      <c r="E107" s="48">
        <v>254743826.33000001</v>
      </c>
      <c r="F107" s="48">
        <v>726903286.11000001</v>
      </c>
      <c r="G107" s="48">
        <v>1254733700.05</v>
      </c>
      <c r="H107" s="48">
        <v>1764050830.8900001</v>
      </c>
      <c r="I107" s="48">
        <v>2255544877.29</v>
      </c>
      <c r="J107" s="48">
        <v>2729878876.8699999</v>
      </c>
      <c r="K107" s="48">
        <v>3187689819.6999998</v>
      </c>
      <c r="L107" s="48">
        <v>3629589715.0500002</v>
      </c>
      <c r="M107" s="48">
        <v>4056166613.2600002</v>
      </c>
      <c r="N107" s="48">
        <v>4467985584.7700005</v>
      </c>
      <c r="O107" s="48">
        <v>4865589658</v>
      </c>
      <c r="P107" s="48">
        <v>5249500717.9300003</v>
      </c>
      <c r="Q107" s="48">
        <v>5620220366.9899998</v>
      </c>
      <c r="R107" s="48">
        <v>5978230749.8000002</v>
      </c>
      <c r="S107" s="48">
        <v>6323995343.4399996</v>
      </c>
      <c r="T107" s="48">
        <v>6657959714.6000004</v>
      </c>
      <c r="U107" s="48">
        <v>6980552244.9799995</v>
      </c>
      <c r="V107" s="48">
        <v>7292184826.4799995</v>
      </c>
      <c r="W107" s="48">
        <v>7593253527.21</v>
      </c>
      <c r="X107" s="48">
        <v>7884139229.7799997</v>
      </c>
      <c r="Y107" s="48">
        <v>8165208242.8800001</v>
      </c>
      <c r="Z107" s="48">
        <v>8436812887.3900003</v>
      </c>
      <c r="AA107" s="48">
        <v>8699292058.0799999</v>
      </c>
      <c r="AB107" s="48">
        <v>8952971761.8999996</v>
      </c>
      <c r="AC107" s="48">
        <v>9198165633.9099998</v>
      </c>
      <c r="AD107" s="48">
        <v>9435175431.7099991</v>
      </c>
      <c r="AE107" s="48">
        <v>9664291509.4200001</v>
      </c>
      <c r="AF107" s="48">
        <v>9885793271.9300003</v>
      </c>
      <c r="AG107" s="48">
        <v>10099949610.389999</v>
      </c>
      <c r="AH107" s="48">
        <v>10099949610.389999</v>
      </c>
      <c r="AI107" s="48">
        <v>10099949610.389999</v>
      </c>
      <c r="AJ107" s="48">
        <v>10099949610.389999</v>
      </c>
      <c r="AK107" s="48">
        <v>10099949610.389999</v>
      </c>
      <c r="AL107" s="48">
        <v>10099949610.389999</v>
      </c>
      <c r="AM107" s="48">
        <v>10099949610.389999</v>
      </c>
      <c r="AN107" s="48">
        <v>10099949610.389999</v>
      </c>
      <c r="AO107" s="48">
        <v>10099949610.389999</v>
      </c>
      <c r="AP107" s="48">
        <v>10099949610.389999</v>
      </c>
      <c r="AQ107" s="48">
        <v>10099949610.389999</v>
      </c>
      <c r="AR107" s="48">
        <v>10099949610.389999</v>
      </c>
      <c r="AS107" s="48">
        <v>10099949610.389999</v>
      </c>
      <c r="AT107" s="48">
        <v>10099949610.389999</v>
      </c>
      <c r="AU107" s="48">
        <v>10099949610.389999</v>
      </c>
      <c r="AV107" s="48">
        <v>10099949610.389999</v>
      </c>
      <c r="AW107" s="48">
        <v>10099949610.389999</v>
      </c>
      <c r="AX107" s="48">
        <v>10099949610.389999</v>
      </c>
      <c r="AY107" s="48">
        <v>10099949610.389999</v>
      </c>
      <c r="AZ107" s="48">
        <v>10099949610.389999</v>
      </c>
      <c r="BA107" s="48">
        <v>10099949610.389999</v>
      </c>
    </row>
    <row r="108" spans="1:53" x14ac:dyDescent="0.3">
      <c r="A108" t="s">
        <v>470</v>
      </c>
      <c r="C108">
        <v>0</v>
      </c>
      <c r="D108" s="48">
        <v>89006938.159999996</v>
      </c>
      <c r="E108" s="48">
        <v>254743826.33000001</v>
      </c>
      <c r="F108" s="48">
        <v>726903286.11000001</v>
      </c>
      <c r="G108" s="48">
        <v>1254733700.05</v>
      </c>
      <c r="H108" s="48">
        <v>1764050830.8900001</v>
      </c>
      <c r="I108" s="48">
        <v>2255544877.29</v>
      </c>
      <c r="J108" s="48">
        <v>2729878876.8699999</v>
      </c>
      <c r="K108" s="48">
        <v>3187689819.6999998</v>
      </c>
      <c r="L108" s="48">
        <v>3629589715.0500002</v>
      </c>
      <c r="M108" s="48">
        <v>4056166613.2600002</v>
      </c>
      <c r="N108" s="48">
        <v>4467985584.7700005</v>
      </c>
      <c r="O108" s="48">
        <v>4865589658</v>
      </c>
      <c r="P108" s="48">
        <v>5249500717.9300003</v>
      </c>
      <c r="Q108" s="48">
        <v>5620220366.9899998</v>
      </c>
      <c r="R108" s="48">
        <v>5978230749.8000002</v>
      </c>
      <c r="S108" s="48">
        <v>6323995343.4399996</v>
      </c>
      <c r="T108" s="48">
        <v>6657959714.6000004</v>
      </c>
      <c r="U108" s="48">
        <v>6980552244.9799995</v>
      </c>
      <c r="V108" s="48">
        <v>7292184826.4799995</v>
      </c>
      <c r="W108" s="48">
        <v>7593253527.21</v>
      </c>
      <c r="X108" s="48">
        <v>7884139229.7799997</v>
      </c>
      <c r="Y108" s="48">
        <v>8165208242.8800001</v>
      </c>
      <c r="Z108" s="48">
        <v>8436812887.3900003</v>
      </c>
      <c r="AA108" s="48">
        <v>8699292058.0799999</v>
      </c>
      <c r="AB108" s="48">
        <v>8952971761.8999996</v>
      </c>
      <c r="AC108" s="48">
        <v>9198165633.9099998</v>
      </c>
      <c r="AD108" s="48">
        <v>9435175431.7099991</v>
      </c>
      <c r="AE108" s="48">
        <v>9664291509.4200001</v>
      </c>
      <c r="AF108" s="48">
        <v>9885793271.9300003</v>
      </c>
      <c r="AG108" s="48">
        <v>10099949610.389999</v>
      </c>
      <c r="AH108" s="48">
        <v>10099949610.389999</v>
      </c>
      <c r="AI108" s="48">
        <v>10099949610.389999</v>
      </c>
      <c r="AJ108" s="48">
        <v>10099949610.389999</v>
      </c>
      <c r="AK108" s="48">
        <v>10099949610.389999</v>
      </c>
      <c r="AL108" s="48">
        <v>10099949610.389999</v>
      </c>
      <c r="AM108" s="48">
        <v>10099949610.389999</v>
      </c>
      <c r="AN108" s="48">
        <v>10099949610.389999</v>
      </c>
      <c r="AO108" s="48">
        <v>10099949610.389999</v>
      </c>
      <c r="AP108" s="48">
        <v>10099949610.389999</v>
      </c>
      <c r="AQ108" s="48">
        <v>10099949610.389999</v>
      </c>
      <c r="AR108" s="48">
        <v>10099949610.389999</v>
      </c>
      <c r="AS108" s="48">
        <v>10099949610.389999</v>
      </c>
      <c r="AT108" s="48">
        <v>10099949610.389999</v>
      </c>
      <c r="AU108" s="48">
        <v>10099949610.389999</v>
      </c>
      <c r="AV108" s="48">
        <v>10099949610.389999</v>
      </c>
      <c r="AW108" s="48">
        <v>10099949610.389999</v>
      </c>
      <c r="AX108" s="48">
        <v>10099949610.389999</v>
      </c>
      <c r="AY108" s="48">
        <v>10099949610.389999</v>
      </c>
      <c r="AZ108" s="48">
        <v>10099949610.389999</v>
      </c>
      <c r="BA108" s="48">
        <v>10099949610.389999</v>
      </c>
    </row>
    <row r="109" spans="1:53" x14ac:dyDescent="0.3">
      <c r="A109" t="s">
        <v>471</v>
      </c>
      <c r="B109" t="s">
        <v>363</v>
      </c>
      <c r="C109">
        <v>0</v>
      </c>
      <c r="D109" s="48">
        <v>-89006938.159999996</v>
      </c>
      <c r="E109" s="48">
        <v>-165736888.16</v>
      </c>
      <c r="F109" s="48">
        <v>241200152.41999999</v>
      </c>
      <c r="G109" s="48">
        <v>373776873.70999998</v>
      </c>
      <c r="H109" s="48">
        <v>367245509.92000002</v>
      </c>
      <c r="I109" s="48">
        <v>360719632.12</v>
      </c>
      <c r="J109" s="48">
        <v>354207076.76999998</v>
      </c>
      <c r="K109" s="48">
        <v>347715103.61000001</v>
      </c>
      <c r="L109" s="48">
        <v>341250427.57999998</v>
      </c>
      <c r="M109" s="48">
        <v>334819249.07999998</v>
      </c>
      <c r="N109" s="48">
        <v>328427282.81</v>
      </c>
      <c r="O109" s="48">
        <v>322079785.13</v>
      </c>
      <c r="P109" s="48">
        <v>315781580.13999999</v>
      </c>
      <c r="Q109" s="48">
        <v>309537084.35000002</v>
      </c>
      <c r="R109" s="48">
        <v>303350330.22000003</v>
      </c>
      <c r="S109" s="48">
        <v>297224988.47000003</v>
      </c>
      <c r="T109" s="48">
        <v>291164389.23000002</v>
      </c>
      <c r="U109" s="48">
        <v>285171542.22000003</v>
      </c>
      <c r="V109" s="48">
        <v>279249155.75</v>
      </c>
      <c r="W109" s="48">
        <v>273399654.92000002</v>
      </c>
      <c r="X109" s="48">
        <v>267625198.77000001</v>
      </c>
      <c r="Y109" s="48">
        <v>261927696.53999999</v>
      </c>
      <c r="Z109" s="48">
        <v>256308823.19</v>
      </c>
      <c r="AA109" s="48">
        <v>250770034.02000001</v>
      </c>
      <c r="AB109" s="48">
        <v>245312578.53</v>
      </c>
      <c r="AC109" s="48">
        <v>239937513.61000001</v>
      </c>
      <c r="AD109" s="48">
        <v>234645716</v>
      </c>
      <c r="AE109" s="48">
        <v>229437894.03999999</v>
      </c>
      <c r="AF109" s="48">
        <v>224314598.91</v>
      </c>
      <c r="AG109" s="48">
        <v>219276235.15000001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6" spans="1:33" x14ac:dyDescent="0.3">
      <c r="A116" t="s">
        <v>472</v>
      </c>
      <c r="B116" t="s">
        <v>363</v>
      </c>
      <c r="C116">
        <v>0</v>
      </c>
      <c r="D116" s="48">
        <v>-89006938.159999996</v>
      </c>
      <c r="E116" s="48">
        <v>-254743826.33000001</v>
      </c>
      <c r="F116" s="48">
        <v>-13543673.91</v>
      </c>
      <c r="G116" s="48">
        <v>360233199.80000001</v>
      </c>
      <c r="H116" s="48">
        <v>727478709.72000003</v>
      </c>
      <c r="I116" s="48">
        <v>1088198341.8499999</v>
      </c>
      <c r="J116" s="48">
        <v>1442405418.6099999</v>
      </c>
      <c r="K116" s="48">
        <v>1790120522.22</v>
      </c>
      <c r="L116" s="48">
        <v>2131370949.8</v>
      </c>
      <c r="M116" s="48">
        <v>2466190198.8800001</v>
      </c>
      <c r="N116" s="48">
        <v>2794617481.6900001</v>
      </c>
      <c r="O116" s="48">
        <v>3116697266.8200002</v>
      </c>
      <c r="P116" s="48">
        <v>3432478846.96</v>
      </c>
      <c r="Q116" s="48">
        <v>3742015931.3099999</v>
      </c>
      <c r="R116" s="48">
        <v>4045366261.5300002</v>
      </c>
      <c r="S116" s="48">
        <v>4342591250</v>
      </c>
      <c r="T116" s="48">
        <v>4633755639.2299995</v>
      </c>
      <c r="U116" s="48">
        <v>4918927181.4499998</v>
      </c>
      <c r="V116" s="48">
        <v>5198176337.1999998</v>
      </c>
      <c r="W116" s="48">
        <v>5471575992.1199999</v>
      </c>
      <c r="X116" s="48">
        <v>5739201190.8900003</v>
      </c>
      <c r="Y116" s="48">
        <v>6001128887.4200001</v>
      </c>
      <c r="Z116" s="48">
        <v>6257437710.6099997</v>
      </c>
      <c r="AA116" s="48">
        <v>6508207744.6300001</v>
      </c>
      <c r="AB116" s="48">
        <v>6753520323.1599998</v>
      </c>
      <c r="AC116" s="48">
        <v>6993457836.7700005</v>
      </c>
      <c r="AD116" s="48">
        <v>7228103552.7700005</v>
      </c>
      <c r="AE116" s="48">
        <v>7457541446.8100004</v>
      </c>
      <c r="AF116" s="48">
        <v>7681856045.7200003</v>
      </c>
      <c r="AG116" s="48">
        <v>7901132280.8699999</v>
      </c>
    </row>
    <row r="117" spans="1:33" x14ac:dyDescent="0.3">
      <c r="A117" t="s">
        <v>473</v>
      </c>
      <c r="B117" t="s">
        <v>307</v>
      </c>
      <c r="C117">
        <v>0</v>
      </c>
    </row>
    <row r="118" spans="1:33" x14ac:dyDescent="0.3">
      <c r="A118" t="s">
        <v>474</v>
      </c>
      <c r="B118" t="s">
        <v>307</v>
      </c>
      <c r="C118">
        <v>0</v>
      </c>
    </row>
    <row r="119" spans="1:33" x14ac:dyDescent="0.3">
      <c r="A119" t="s">
        <v>475</v>
      </c>
      <c r="B119" t="s">
        <v>307</v>
      </c>
      <c r="C119">
        <v>0</v>
      </c>
    </row>
    <row r="120" spans="1:33" x14ac:dyDescent="0.3">
      <c r="A120" t="s">
        <v>476</v>
      </c>
      <c r="B120" t="s">
        <v>284</v>
      </c>
      <c r="C120">
        <v>3.04</v>
      </c>
      <c r="G120" s="77">
        <v>3.04</v>
      </c>
    </row>
    <row r="121" spans="1:33" x14ac:dyDescent="0.3">
      <c r="A121" t="s">
        <v>477</v>
      </c>
      <c r="B121" t="s">
        <v>307</v>
      </c>
      <c r="C121">
        <v>0</v>
      </c>
    </row>
    <row r="122" spans="1:33" x14ac:dyDescent="0.3">
      <c r="A122" t="s">
        <v>478</v>
      </c>
      <c r="C122">
        <v>0</v>
      </c>
    </row>
    <row r="131" spans="1:53" x14ac:dyDescent="0.3">
      <c r="B131" t="s">
        <v>479</v>
      </c>
    </row>
    <row r="133" spans="1:53" x14ac:dyDescent="0.3">
      <c r="A133" t="s">
        <v>239</v>
      </c>
      <c r="B133" t="s">
        <v>480</v>
      </c>
    </row>
    <row r="134" spans="1:53" x14ac:dyDescent="0.3">
      <c r="A134" t="s">
        <v>481</v>
      </c>
      <c r="B134" t="s">
        <v>482</v>
      </c>
      <c r="C134">
        <v>0</v>
      </c>
      <c r="D134" t="s">
        <v>483</v>
      </c>
      <c r="E134" t="s">
        <v>483</v>
      </c>
      <c r="F134" t="s">
        <v>483</v>
      </c>
      <c r="G134" t="s">
        <v>484</v>
      </c>
      <c r="H134" t="s">
        <v>484</v>
      </c>
      <c r="I134" t="s">
        <v>484</v>
      </c>
      <c r="J134" t="s">
        <v>484</v>
      </c>
      <c r="K134" t="s">
        <v>484</v>
      </c>
      <c r="L134" t="s">
        <v>484</v>
      </c>
      <c r="M134" t="s">
        <v>484</v>
      </c>
      <c r="N134" t="s">
        <v>484</v>
      </c>
      <c r="O134" t="s">
        <v>484</v>
      </c>
      <c r="P134" t="s">
        <v>484</v>
      </c>
      <c r="Q134" t="s">
        <v>484</v>
      </c>
      <c r="R134" t="s">
        <v>484</v>
      </c>
      <c r="S134" t="s">
        <v>484</v>
      </c>
      <c r="T134" t="s">
        <v>484</v>
      </c>
      <c r="U134" t="s">
        <v>484</v>
      </c>
      <c r="V134" t="s">
        <v>484</v>
      </c>
      <c r="W134" t="s">
        <v>484</v>
      </c>
      <c r="X134" t="s">
        <v>484</v>
      </c>
      <c r="Y134" t="s">
        <v>484</v>
      </c>
      <c r="Z134" t="s">
        <v>484</v>
      </c>
      <c r="AA134" t="s">
        <v>484</v>
      </c>
      <c r="AB134" t="s">
        <v>484</v>
      </c>
      <c r="AC134" t="s">
        <v>484</v>
      </c>
      <c r="AD134" t="s">
        <v>484</v>
      </c>
      <c r="AE134" t="s">
        <v>484</v>
      </c>
      <c r="AF134" t="s">
        <v>484</v>
      </c>
      <c r="AG134" t="s">
        <v>484</v>
      </c>
      <c r="AH134" t="s">
        <v>484</v>
      </c>
      <c r="AI134" t="s">
        <v>484</v>
      </c>
      <c r="AJ134" t="s">
        <v>484</v>
      </c>
      <c r="AK134" t="s">
        <v>484</v>
      </c>
      <c r="AL134" t="s">
        <v>484</v>
      </c>
      <c r="AM134" t="s">
        <v>484</v>
      </c>
      <c r="AN134" t="s">
        <v>484</v>
      </c>
      <c r="AO134" t="s">
        <v>484</v>
      </c>
      <c r="AP134" t="s">
        <v>484</v>
      </c>
      <c r="AQ134" t="s">
        <v>484</v>
      </c>
      <c r="AR134" t="s">
        <v>484</v>
      </c>
      <c r="AS134" t="s">
        <v>484</v>
      </c>
      <c r="AT134" t="s">
        <v>484</v>
      </c>
      <c r="AU134" t="s">
        <v>484</v>
      </c>
      <c r="AV134" t="s">
        <v>484</v>
      </c>
      <c r="AW134" t="s">
        <v>484</v>
      </c>
      <c r="AX134" t="s">
        <v>484</v>
      </c>
      <c r="AY134" t="s">
        <v>484</v>
      </c>
      <c r="AZ134" t="s">
        <v>484</v>
      </c>
      <c r="BA134" t="s">
        <v>484</v>
      </c>
    </row>
    <row r="135" spans="1:53" x14ac:dyDescent="0.3">
      <c r="A135" t="s">
        <v>485</v>
      </c>
      <c r="B135" t="s">
        <v>482</v>
      </c>
      <c r="C135">
        <v>0</v>
      </c>
      <c r="D135" t="s">
        <v>484</v>
      </c>
      <c r="E135" t="s">
        <v>484</v>
      </c>
      <c r="F135" t="s">
        <v>484</v>
      </c>
      <c r="G135" t="s">
        <v>484</v>
      </c>
      <c r="H135" t="s">
        <v>484</v>
      </c>
      <c r="I135" t="s">
        <v>484</v>
      </c>
      <c r="J135" t="s">
        <v>484</v>
      </c>
      <c r="K135" t="s">
        <v>484</v>
      </c>
      <c r="L135" t="s">
        <v>484</v>
      </c>
      <c r="M135" t="s">
        <v>484</v>
      </c>
      <c r="N135" t="s">
        <v>484</v>
      </c>
      <c r="O135" t="s">
        <v>484</v>
      </c>
      <c r="P135" t="s">
        <v>484</v>
      </c>
      <c r="Q135" t="s">
        <v>484</v>
      </c>
      <c r="R135" t="s">
        <v>484</v>
      </c>
      <c r="S135" t="s">
        <v>484</v>
      </c>
      <c r="T135" t="s">
        <v>484</v>
      </c>
      <c r="U135" t="s">
        <v>484</v>
      </c>
      <c r="V135" t="s">
        <v>484</v>
      </c>
      <c r="W135" t="s">
        <v>484</v>
      </c>
      <c r="X135" t="s">
        <v>484</v>
      </c>
      <c r="Y135" t="s">
        <v>484</v>
      </c>
      <c r="Z135" t="s">
        <v>484</v>
      </c>
      <c r="AA135" t="s">
        <v>484</v>
      </c>
      <c r="AB135" t="s">
        <v>484</v>
      </c>
      <c r="AC135" t="s">
        <v>484</v>
      </c>
      <c r="AD135" t="s">
        <v>484</v>
      </c>
      <c r="AE135" t="s">
        <v>484</v>
      </c>
      <c r="AF135" t="s">
        <v>484</v>
      </c>
      <c r="AG135" t="s">
        <v>484</v>
      </c>
      <c r="AH135" t="s">
        <v>484</v>
      </c>
      <c r="AI135" t="s">
        <v>484</v>
      </c>
      <c r="AJ135" t="s">
        <v>484</v>
      </c>
      <c r="AK135" t="s">
        <v>484</v>
      </c>
      <c r="AL135" t="s">
        <v>484</v>
      </c>
      <c r="AM135" t="s">
        <v>484</v>
      </c>
      <c r="AN135" t="s">
        <v>484</v>
      </c>
      <c r="AO135" t="s">
        <v>484</v>
      </c>
      <c r="AP135" t="s">
        <v>484</v>
      </c>
      <c r="AQ135" t="s">
        <v>484</v>
      </c>
      <c r="AR135" t="s">
        <v>484</v>
      </c>
      <c r="AS135" t="s">
        <v>484</v>
      </c>
      <c r="AT135" t="s">
        <v>484</v>
      </c>
      <c r="AU135" t="s">
        <v>484</v>
      </c>
      <c r="AV135" t="s">
        <v>484</v>
      </c>
      <c r="AW135" t="s">
        <v>484</v>
      </c>
      <c r="AX135" t="s">
        <v>484</v>
      </c>
      <c r="AY135" t="s">
        <v>484</v>
      </c>
      <c r="AZ135" t="s">
        <v>484</v>
      </c>
      <c r="BA135" t="s">
        <v>484</v>
      </c>
    </row>
    <row r="136" spans="1:53" x14ac:dyDescent="0.3">
      <c r="A136" t="s">
        <v>486</v>
      </c>
      <c r="B136" t="s">
        <v>482</v>
      </c>
      <c r="C136">
        <v>0</v>
      </c>
      <c r="D136" t="s">
        <v>484</v>
      </c>
      <c r="E136" t="s">
        <v>484</v>
      </c>
      <c r="F136" t="s">
        <v>484</v>
      </c>
      <c r="G136" t="s">
        <v>484</v>
      </c>
      <c r="H136" t="s">
        <v>484</v>
      </c>
      <c r="I136" t="s">
        <v>484</v>
      </c>
      <c r="J136" t="s">
        <v>484</v>
      </c>
      <c r="K136" t="s">
        <v>484</v>
      </c>
      <c r="L136" t="s">
        <v>484</v>
      </c>
      <c r="M136" t="s">
        <v>484</v>
      </c>
      <c r="N136" t="s">
        <v>484</v>
      </c>
      <c r="O136" t="s">
        <v>484</v>
      </c>
      <c r="P136" t="s">
        <v>484</v>
      </c>
      <c r="Q136" t="s">
        <v>484</v>
      </c>
      <c r="R136" t="s">
        <v>484</v>
      </c>
      <c r="S136" t="s">
        <v>484</v>
      </c>
      <c r="T136" t="s">
        <v>484</v>
      </c>
      <c r="U136" t="s">
        <v>484</v>
      </c>
      <c r="V136" t="s">
        <v>484</v>
      </c>
      <c r="W136" t="s">
        <v>484</v>
      </c>
      <c r="X136" t="s">
        <v>484</v>
      </c>
      <c r="Y136" t="s">
        <v>484</v>
      </c>
      <c r="Z136" t="s">
        <v>484</v>
      </c>
      <c r="AA136" t="s">
        <v>484</v>
      </c>
      <c r="AB136" t="s">
        <v>484</v>
      </c>
      <c r="AC136" t="s">
        <v>484</v>
      </c>
      <c r="AD136" t="s">
        <v>484</v>
      </c>
      <c r="AE136" t="s">
        <v>484</v>
      </c>
      <c r="AF136" t="s">
        <v>484</v>
      </c>
      <c r="AG136" t="s">
        <v>484</v>
      </c>
      <c r="AH136" t="s">
        <v>484</v>
      </c>
      <c r="AI136" t="s">
        <v>484</v>
      </c>
      <c r="AJ136" t="s">
        <v>484</v>
      </c>
      <c r="AK136" t="s">
        <v>484</v>
      </c>
      <c r="AL136" t="s">
        <v>484</v>
      </c>
      <c r="AM136" t="s">
        <v>484</v>
      </c>
      <c r="AN136" t="s">
        <v>484</v>
      </c>
      <c r="AO136" t="s">
        <v>484</v>
      </c>
      <c r="AP136" t="s">
        <v>484</v>
      </c>
      <c r="AQ136" t="s">
        <v>484</v>
      </c>
      <c r="AR136" t="s">
        <v>484</v>
      </c>
      <c r="AS136" t="s">
        <v>484</v>
      </c>
      <c r="AT136" t="s">
        <v>484</v>
      </c>
      <c r="AU136" t="s">
        <v>484</v>
      </c>
      <c r="AV136" t="s">
        <v>484</v>
      </c>
      <c r="AW136" t="s">
        <v>484</v>
      </c>
      <c r="AX136" t="s">
        <v>484</v>
      </c>
      <c r="AY136" t="s">
        <v>484</v>
      </c>
      <c r="AZ136" t="s">
        <v>484</v>
      </c>
      <c r="BA136" t="s">
        <v>484</v>
      </c>
    </row>
    <row r="137" spans="1:53" x14ac:dyDescent="0.3">
      <c r="A137" t="s">
        <v>487</v>
      </c>
      <c r="B137" t="s">
        <v>482</v>
      </c>
      <c r="C137">
        <v>0</v>
      </c>
      <c r="D137" t="s">
        <v>484</v>
      </c>
      <c r="E137" t="s">
        <v>484</v>
      </c>
      <c r="F137" t="s">
        <v>484</v>
      </c>
      <c r="G137" t="s">
        <v>484</v>
      </c>
      <c r="H137" t="s">
        <v>484</v>
      </c>
      <c r="I137" t="s">
        <v>484</v>
      </c>
      <c r="J137" t="s">
        <v>484</v>
      </c>
      <c r="K137" t="s">
        <v>484</v>
      </c>
      <c r="L137" t="s">
        <v>484</v>
      </c>
      <c r="M137" t="s">
        <v>484</v>
      </c>
      <c r="N137" t="s">
        <v>484</v>
      </c>
      <c r="O137" t="s">
        <v>484</v>
      </c>
      <c r="P137" t="s">
        <v>484</v>
      </c>
      <c r="Q137" t="s">
        <v>484</v>
      </c>
      <c r="R137" t="s">
        <v>484</v>
      </c>
      <c r="S137" t="s">
        <v>484</v>
      </c>
      <c r="T137" t="s">
        <v>484</v>
      </c>
      <c r="U137" t="s">
        <v>484</v>
      </c>
      <c r="V137" t="s">
        <v>484</v>
      </c>
      <c r="W137" t="s">
        <v>484</v>
      </c>
      <c r="X137" t="s">
        <v>484</v>
      </c>
      <c r="Y137" t="s">
        <v>484</v>
      </c>
      <c r="Z137" t="s">
        <v>484</v>
      </c>
      <c r="AA137" t="s">
        <v>484</v>
      </c>
      <c r="AB137" t="s">
        <v>484</v>
      </c>
      <c r="AC137" t="s">
        <v>484</v>
      </c>
      <c r="AD137" t="s">
        <v>484</v>
      </c>
      <c r="AE137" t="s">
        <v>484</v>
      </c>
      <c r="AF137" t="s">
        <v>484</v>
      </c>
      <c r="AG137" t="s">
        <v>484</v>
      </c>
      <c r="AH137" t="s">
        <v>484</v>
      </c>
      <c r="AI137" t="s">
        <v>484</v>
      </c>
      <c r="AJ137" t="s">
        <v>484</v>
      </c>
      <c r="AK137" t="s">
        <v>484</v>
      </c>
      <c r="AL137" t="s">
        <v>484</v>
      </c>
      <c r="AM137" t="s">
        <v>484</v>
      </c>
      <c r="AN137" t="s">
        <v>484</v>
      </c>
      <c r="AO137" t="s">
        <v>484</v>
      </c>
      <c r="AP137" t="s">
        <v>484</v>
      </c>
      <c r="AQ137" t="s">
        <v>484</v>
      </c>
      <c r="AR137" t="s">
        <v>484</v>
      </c>
      <c r="AS137" t="s">
        <v>484</v>
      </c>
      <c r="AT137" t="s">
        <v>484</v>
      </c>
      <c r="AU137" t="s">
        <v>484</v>
      </c>
      <c r="AV137" t="s">
        <v>484</v>
      </c>
      <c r="AW137" t="s">
        <v>484</v>
      </c>
      <c r="AX137" t="s">
        <v>484</v>
      </c>
      <c r="AY137" t="s">
        <v>484</v>
      </c>
      <c r="AZ137" t="s">
        <v>484</v>
      </c>
      <c r="BA137" t="s">
        <v>484</v>
      </c>
    </row>
    <row r="138" spans="1:53" x14ac:dyDescent="0.3">
      <c r="A138" t="s">
        <v>488</v>
      </c>
      <c r="B138" t="s">
        <v>489</v>
      </c>
      <c r="C138" t="s">
        <v>483</v>
      </c>
      <c r="D138" t="s">
        <v>484</v>
      </c>
      <c r="E138" t="s">
        <v>484</v>
      </c>
      <c r="F138" t="s">
        <v>484</v>
      </c>
      <c r="G138" t="s">
        <v>484</v>
      </c>
      <c r="H138" t="s">
        <v>484</v>
      </c>
      <c r="I138" t="s">
        <v>484</v>
      </c>
      <c r="J138" t="s">
        <v>484</v>
      </c>
      <c r="K138" t="s">
        <v>484</v>
      </c>
      <c r="L138" t="s">
        <v>484</v>
      </c>
      <c r="M138" t="s">
        <v>484</v>
      </c>
      <c r="N138" t="s">
        <v>484</v>
      </c>
      <c r="O138" t="s">
        <v>484</v>
      </c>
      <c r="P138" t="s">
        <v>484</v>
      </c>
      <c r="Q138" t="s">
        <v>484</v>
      </c>
      <c r="R138" t="s">
        <v>484</v>
      </c>
      <c r="S138" t="s">
        <v>484</v>
      </c>
      <c r="T138" t="s">
        <v>484</v>
      </c>
      <c r="U138" t="s">
        <v>484</v>
      </c>
      <c r="V138" t="s">
        <v>484</v>
      </c>
      <c r="W138" t="s">
        <v>484</v>
      </c>
      <c r="X138" t="s">
        <v>484</v>
      </c>
      <c r="Y138" t="s">
        <v>484</v>
      </c>
      <c r="Z138" t="s">
        <v>484</v>
      </c>
      <c r="AA138" t="s">
        <v>484</v>
      </c>
      <c r="AB138" t="s">
        <v>484</v>
      </c>
      <c r="AC138" t="s">
        <v>484</v>
      </c>
      <c r="AD138" t="s">
        <v>484</v>
      </c>
      <c r="AE138" t="s">
        <v>484</v>
      </c>
      <c r="AF138" t="s">
        <v>484</v>
      </c>
      <c r="AG138" t="s">
        <v>484</v>
      </c>
      <c r="AH138" t="s">
        <v>484</v>
      </c>
      <c r="AI138" t="s">
        <v>484</v>
      </c>
      <c r="AJ138" t="s">
        <v>484</v>
      </c>
      <c r="AK138" t="s">
        <v>484</v>
      </c>
      <c r="AL138" t="s">
        <v>484</v>
      </c>
      <c r="AM138" t="s">
        <v>484</v>
      </c>
      <c r="AN138" t="s">
        <v>484</v>
      </c>
      <c r="AO138" t="s">
        <v>484</v>
      </c>
      <c r="AP138" t="s">
        <v>484</v>
      </c>
      <c r="AQ138" t="s">
        <v>484</v>
      </c>
      <c r="AR138" t="s">
        <v>484</v>
      </c>
      <c r="AS138" t="s">
        <v>484</v>
      </c>
      <c r="AT138" t="s">
        <v>484</v>
      </c>
      <c r="AU138" t="s">
        <v>484</v>
      </c>
      <c r="AV138" t="s">
        <v>484</v>
      </c>
      <c r="AW138" t="s">
        <v>484</v>
      </c>
      <c r="AX138" t="s">
        <v>484</v>
      </c>
      <c r="AY138" t="s">
        <v>484</v>
      </c>
      <c r="AZ138" t="s">
        <v>484</v>
      </c>
      <c r="BA138" t="s">
        <v>484</v>
      </c>
    </row>
    <row r="141" spans="1:53" x14ac:dyDescent="0.3">
      <c r="A141" t="s">
        <v>490</v>
      </c>
    </row>
    <row r="142" spans="1:53" x14ac:dyDescent="0.3">
      <c r="A142" t="s">
        <v>491</v>
      </c>
    </row>
    <row r="143" spans="1:53" x14ac:dyDescent="0.3">
      <c r="A143" t="s">
        <v>492</v>
      </c>
    </row>
    <row r="160" spans="1:1" x14ac:dyDescent="0.3">
      <c r="A160" t="s">
        <v>493</v>
      </c>
    </row>
    <row r="165" spans="1:33" x14ac:dyDescent="0.3">
      <c r="A165" t="s">
        <v>494</v>
      </c>
    </row>
    <row r="166" spans="1:33" x14ac:dyDescent="0.3">
      <c r="A166" t="s">
        <v>495</v>
      </c>
    </row>
    <row r="168" spans="1:33" x14ac:dyDescent="0.3">
      <c r="A168" t="s">
        <v>496</v>
      </c>
      <c r="B168" t="s">
        <v>296</v>
      </c>
      <c r="E168" s="48">
        <v>5425184.7999999998</v>
      </c>
      <c r="F168" s="48">
        <v>5425184.7999999998</v>
      </c>
      <c r="G168" s="48">
        <v>5425184.7999999998</v>
      </c>
      <c r="H168" s="48">
        <v>5425184.7999999998</v>
      </c>
      <c r="I168" s="48">
        <v>5425184.7999999998</v>
      </c>
      <c r="J168" s="48">
        <v>5425184.7999999998</v>
      </c>
      <c r="K168" s="48">
        <v>5425184.7999999998</v>
      </c>
      <c r="L168" s="48">
        <v>5425184.7999999998</v>
      </c>
      <c r="M168" s="48">
        <v>5425184.7999999998</v>
      </c>
      <c r="N168" s="48">
        <v>5425184.7999999998</v>
      </c>
      <c r="O168" s="48">
        <v>5425184.7999999998</v>
      </c>
      <c r="P168" s="48">
        <v>5425184.7999999998</v>
      </c>
      <c r="Q168" s="48">
        <v>5425184.7999999998</v>
      </c>
      <c r="R168" s="48">
        <v>5425184.7999999998</v>
      </c>
      <c r="S168" s="48">
        <v>5425184.7999999998</v>
      </c>
      <c r="T168" s="48">
        <v>5425184.7999999998</v>
      </c>
      <c r="U168" s="48">
        <v>5425184.7999999998</v>
      </c>
      <c r="V168" s="48">
        <v>5425184.7999999998</v>
      </c>
      <c r="W168" s="48">
        <v>5425184.7999999998</v>
      </c>
      <c r="X168" s="48">
        <v>5425184.7999999998</v>
      </c>
      <c r="Y168" s="48">
        <v>5425184.7999999998</v>
      </c>
      <c r="Z168" s="48">
        <v>5425184.7999999998</v>
      </c>
      <c r="AA168" s="48">
        <v>5425184.7999999998</v>
      </c>
      <c r="AB168" s="48">
        <v>5425184.7999999998</v>
      </c>
      <c r="AC168" s="48">
        <v>5425184.7999999998</v>
      </c>
      <c r="AD168" s="48">
        <v>5425184.7999999998</v>
      </c>
      <c r="AE168" s="48">
        <v>5425184.7999999998</v>
      </c>
      <c r="AF168" s="48">
        <v>5425184.7999999998</v>
      </c>
      <c r="AG168" s="48">
        <v>5425184.7999999998</v>
      </c>
    </row>
    <row r="169" spans="1:33" x14ac:dyDescent="0.3">
      <c r="D169" s="48">
        <v>157330359.27000001</v>
      </c>
    </row>
    <row r="171" spans="1:33" x14ac:dyDescent="0.3">
      <c r="A171" t="s">
        <v>497</v>
      </c>
    </row>
    <row r="172" spans="1:33" x14ac:dyDescent="0.3">
      <c r="A172" t="s">
        <v>498</v>
      </c>
      <c r="D172">
        <v>465</v>
      </c>
    </row>
    <row r="174" spans="1:33" x14ac:dyDescent="0.3">
      <c r="A174" t="s">
        <v>496</v>
      </c>
      <c r="B174" t="s">
        <v>296</v>
      </c>
      <c r="E174" s="48">
        <v>10500357.68</v>
      </c>
      <c r="F174" s="48">
        <v>10150345.76</v>
      </c>
      <c r="G174" s="48">
        <v>9800333.8399999999</v>
      </c>
      <c r="H174" s="48">
        <v>9450321.9100000001</v>
      </c>
      <c r="I174" s="48">
        <v>9100309.9900000002</v>
      </c>
      <c r="J174" s="48">
        <v>8750298.0700000003</v>
      </c>
      <c r="K174" s="48">
        <v>8400286.1500000004</v>
      </c>
      <c r="L174" s="48">
        <v>8050274.2199999997</v>
      </c>
      <c r="M174" s="48">
        <v>7700262.2999999998</v>
      </c>
      <c r="N174" s="48">
        <v>7350250.3799999999</v>
      </c>
      <c r="O174" s="48">
        <v>7000238.4500000002</v>
      </c>
      <c r="P174" s="48">
        <v>6650226.5300000003</v>
      </c>
      <c r="Q174" s="48">
        <v>6300214.6100000003</v>
      </c>
      <c r="R174" s="48">
        <v>5950202.6900000004</v>
      </c>
      <c r="S174" s="48">
        <v>5600190.7599999998</v>
      </c>
      <c r="T174" s="48">
        <v>5250178.84</v>
      </c>
      <c r="U174" s="48">
        <v>4900166.92</v>
      </c>
      <c r="V174" s="48">
        <v>4550155</v>
      </c>
      <c r="W174" s="48">
        <v>4200143.07</v>
      </c>
      <c r="X174" s="48">
        <v>3850131.15</v>
      </c>
      <c r="Y174" s="48">
        <v>3500119.23</v>
      </c>
      <c r="Z174" s="48">
        <v>3150107.3</v>
      </c>
      <c r="AA174" s="48">
        <v>2800095.38</v>
      </c>
      <c r="AB174" s="48">
        <v>2450083.46</v>
      </c>
      <c r="AC174" s="48">
        <v>2100071.54</v>
      </c>
      <c r="AD174" s="48">
        <v>1750059.61</v>
      </c>
      <c r="AE174" s="48">
        <v>1400047.69</v>
      </c>
      <c r="AF174" s="48">
        <v>1050035.77</v>
      </c>
      <c r="AG174" s="48">
        <v>700023.85</v>
      </c>
    </row>
    <row r="175" spans="1:33" x14ac:dyDescent="0.3">
      <c r="D175" s="48">
        <v>162405532.15000001</v>
      </c>
    </row>
    <row r="177" spans="1:53" x14ac:dyDescent="0.3">
      <c r="A177" t="s">
        <v>499</v>
      </c>
    </row>
    <row r="178" spans="1:53" x14ac:dyDescent="0.3">
      <c r="A178" t="s">
        <v>495</v>
      </c>
      <c r="D178">
        <v>7.0000000000000007E-2</v>
      </c>
    </row>
    <row r="180" spans="1:53" x14ac:dyDescent="0.3">
      <c r="A180" t="s">
        <v>500</v>
      </c>
      <c r="B180" t="s">
        <v>296</v>
      </c>
      <c r="E180" s="48">
        <v>6781481</v>
      </c>
      <c r="F180" s="48">
        <v>6547636.8300000001</v>
      </c>
      <c r="G180" s="48">
        <v>6329382.2699999996</v>
      </c>
      <c r="H180" s="48">
        <v>6126216.9100000001</v>
      </c>
      <c r="I180" s="48">
        <v>5937717.9299999997</v>
      </c>
      <c r="J180" s="48">
        <v>5763544.8700000001</v>
      </c>
      <c r="K180" s="48">
        <v>5603446.4000000004</v>
      </c>
      <c r="L180" s="48">
        <v>5457269.54</v>
      </c>
      <c r="M180" s="48">
        <v>5324972.0999999996</v>
      </c>
      <c r="N180" s="48">
        <v>5206639.38</v>
      </c>
      <c r="O180" s="48">
        <v>5102506.5999999996</v>
      </c>
      <c r="P180" s="48">
        <v>5012988.9400000004</v>
      </c>
      <c r="Q180" s="48">
        <v>4938722.43</v>
      </c>
      <c r="R180" s="48">
        <v>4880619.82</v>
      </c>
      <c r="S180" s="48">
        <v>4839947.9800000004</v>
      </c>
      <c r="T180" s="48">
        <v>4818437.0999999996</v>
      </c>
      <c r="U180" s="48">
        <v>4818437.0999999996</v>
      </c>
      <c r="V180" s="48">
        <v>4818437.0999999996</v>
      </c>
      <c r="W180" s="48">
        <v>4818437.0999999996</v>
      </c>
      <c r="X180" s="48">
        <v>4818437.0999999996</v>
      </c>
      <c r="Y180" s="48">
        <v>4818437.0999999996</v>
      </c>
      <c r="Z180" s="48">
        <v>4818437.0999999996</v>
      </c>
      <c r="AA180" s="48">
        <v>4818437.0999999996</v>
      </c>
      <c r="AB180" s="48">
        <v>4818437.0999999996</v>
      </c>
      <c r="AC180" s="48">
        <v>4818437.0999999996</v>
      </c>
      <c r="AD180" s="48">
        <v>4818437.0999999996</v>
      </c>
      <c r="AE180" s="48">
        <v>4818437.0999999996</v>
      </c>
      <c r="AF180" s="48">
        <v>4818437.0999999996</v>
      </c>
      <c r="AG180" s="48">
        <v>4818437.0999999996</v>
      </c>
    </row>
    <row r="181" spans="1:53" x14ac:dyDescent="0.3">
      <c r="A181" t="s">
        <v>501</v>
      </c>
      <c r="B181" t="s">
        <v>296</v>
      </c>
      <c r="E181" s="48">
        <v>13562962.01</v>
      </c>
      <c r="F181" s="48">
        <v>12658764.539999999</v>
      </c>
      <c r="G181" s="48">
        <v>11814846.9</v>
      </c>
      <c r="H181" s="48">
        <v>11027190.439999999</v>
      </c>
      <c r="I181" s="48">
        <v>10292044.41</v>
      </c>
      <c r="J181" s="48">
        <v>9605908.1199999992</v>
      </c>
      <c r="K181" s="48">
        <v>8965514.2400000002</v>
      </c>
      <c r="L181" s="48">
        <v>8367813.29</v>
      </c>
      <c r="M181" s="48">
        <v>7809959.0800000001</v>
      </c>
      <c r="N181" s="48">
        <v>7289295.1399999997</v>
      </c>
      <c r="O181" s="48">
        <v>6803342.1299999999</v>
      </c>
      <c r="P181" s="48">
        <v>6349785.9900000002</v>
      </c>
      <c r="Q181" s="48">
        <v>5926466.9199999999</v>
      </c>
      <c r="R181" s="48">
        <v>5531369.1299999999</v>
      </c>
      <c r="S181" s="48">
        <v>5162611.18</v>
      </c>
      <c r="T181" s="48">
        <v>4818437.0999999996</v>
      </c>
      <c r="U181" s="48">
        <v>4497207.96</v>
      </c>
      <c r="V181" s="48">
        <v>4197394.0999999996</v>
      </c>
      <c r="W181" s="48">
        <v>3917567.83</v>
      </c>
      <c r="X181" s="48">
        <v>3656396.64</v>
      </c>
      <c r="Y181" s="48">
        <v>3412636.86</v>
      </c>
      <c r="Z181" s="48">
        <v>3185127.74</v>
      </c>
      <c r="AA181" s="48">
        <v>2972785.89</v>
      </c>
      <c r="AB181" s="48">
        <v>2774600.16</v>
      </c>
      <c r="AC181" s="48">
        <v>2589626.8199999998</v>
      </c>
      <c r="AD181" s="48">
        <v>2416985.0299999998</v>
      </c>
      <c r="AE181" s="48">
        <v>2255852.7000000002</v>
      </c>
      <c r="AF181" s="48">
        <v>2105462.52</v>
      </c>
      <c r="AG181" s="48">
        <v>1965098.35</v>
      </c>
    </row>
    <row r="182" spans="1:53" x14ac:dyDescent="0.3">
      <c r="A182" t="s">
        <v>502</v>
      </c>
      <c r="B182" t="s">
        <v>296</v>
      </c>
      <c r="C182" s="48">
        <v>203444430.09</v>
      </c>
      <c r="D182" s="48">
        <v>203444430.09</v>
      </c>
      <c r="E182" s="48">
        <v>189881468.08000001</v>
      </c>
      <c r="F182" s="48">
        <v>177222703.55000001</v>
      </c>
      <c r="G182" s="48">
        <v>165407856.63999999</v>
      </c>
      <c r="H182" s="48">
        <v>154380666.19999999</v>
      </c>
      <c r="I182" s="48">
        <v>144088621.78999999</v>
      </c>
      <c r="J182" s="48">
        <v>134482713.66999999</v>
      </c>
      <c r="K182" s="48">
        <v>125517199.42</v>
      </c>
      <c r="L182" s="48">
        <v>117149386.13</v>
      </c>
      <c r="M182" s="48">
        <v>109339427.05</v>
      </c>
      <c r="N182" s="48">
        <v>102050131.92</v>
      </c>
      <c r="O182" s="48">
        <v>95246789.790000007</v>
      </c>
      <c r="P182" s="48">
        <v>88897003.799999997</v>
      </c>
      <c r="Q182" s="48">
        <v>82970536.879999995</v>
      </c>
      <c r="R182" s="48">
        <v>77439167.760000005</v>
      </c>
      <c r="S182" s="48">
        <v>72276556.569999993</v>
      </c>
      <c r="T182" s="48">
        <v>67458119.469999999</v>
      </c>
      <c r="U182" s="48">
        <v>62960911.5</v>
      </c>
      <c r="V182" s="48">
        <v>58763517.399999999</v>
      </c>
      <c r="W182" s="48">
        <v>54845949.579999998</v>
      </c>
      <c r="X182" s="48">
        <v>51189552.939999998</v>
      </c>
      <c r="Y182" s="48">
        <v>47776916.079999998</v>
      </c>
      <c r="Z182" s="48">
        <v>44591788.340000004</v>
      </c>
      <c r="AA182" s="48">
        <v>41619002.450000003</v>
      </c>
      <c r="AB182" s="48">
        <v>38844402.280000001</v>
      </c>
      <c r="AC182" s="48">
        <v>36254775.469999999</v>
      </c>
      <c r="AD182" s="48">
        <v>33837790.43</v>
      </c>
      <c r="AE182" s="48">
        <v>31581937.739999998</v>
      </c>
      <c r="AF182" s="48">
        <v>29476475.219999999</v>
      </c>
      <c r="AG182" s="48">
        <v>27511376.870000001</v>
      </c>
      <c r="AH182" s="48">
        <v>203444430.09</v>
      </c>
      <c r="AI182" s="48">
        <v>203444430.09</v>
      </c>
      <c r="AJ182" s="48">
        <v>203444430.09</v>
      </c>
      <c r="AK182" s="48">
        <v>203444430.09</v>
      </c>
      <c r="AL182" s="48">
        <v>203444430.09</v>
      </c>
      <c r="AM182" s="48">
        <v>203444430.09</v>
      </c>
      <c r="AN182" s="48">
        <v>203444430.09</v>
      </c>
      <c r="AO182" s="48">
        <v>203444430.09</v>
      </c>
      <c r="AP182" s="48">
        <v>203444430.09</v>
      </c>
      <c r="AQ182" s="48">
        <v>203444430.09</v>
      </c>
      <c r="AR182" s="48">
        <v>203444430.09</v>
      </c>
      <c r="AS182" s="48">
        <v>203444430.09</v>
      </c>
      <c r="AT182" s="48">
        <v>203444430.09</v>
      </c>
      <c r="AU182" s="48">
        <v>203444430.09</v>
      </c>
      <c r="AV182" s="48">
        <v>203444430.09</v>
      </c>
      <c r="AW182" s="48">
        <v>203444430.09</v>
      </c>
      <c r="AX182" s="48">
        <v>203444430.09</v>
      </c>
      <c r="AY182" s="48">
        <v>203444430.09</v>
      </c>
      <c r="AZ182" s="48">
        <v>203444430.09</v>
      </c>
      <c r="BA182" s="48">
        <v>203444430.09</v>
      </c>
    </row>
    <row r="183" spans="1:53" x14ac:dyDescent="0.3">
      <c r="A183" t="s">
        <v>496</v>
      </c>
      <c r="B183" t="s">
        <v>296</v>
      </c>
      <c r="E183" s="48">
        <v>13562962.01</v>
      </c>
      <c r="F183" s="48">
        <v>12658764.539999999</v>
      </c>
      <c r="G183" s="48">
        <v>11814846.9</v>
      </c>
      <c r="H183" s="48">
        <v>11027190.439999999</v>
      </c>
      <c r="I183" s="48">
        <v>10292044.41</v>
      </c>
      <c r="J183" s="48">
        <v>9605908.1199999992</v>
      </c>
      <c r="K183" s="48">
        <v>8965514.2400000002</v>
      </c>
      <c r="L183" s="48">
        <v>8367813.29</v>
      </c>
      <c r="M183" s="48">
        <v>7809959.0800000001</v>
      </c>
      <c r="N183" s="48">
        <v>7289295.1399999997</v>
      </c>
      <c r="O183" s="48">
        <v>6803342.1299999999</v>
      </c>
      <c r="P183" s="48">
        <v>6349785.9900000002</v>
      </c>
      <c r="Q183" s="48">
        <v>5926466.9199999999</v>
      </c>
      <c r="R183" s="48">
        <v>5531369.1299999999</v>
      </c>
      <c r="S183" s="48">
        <v>5162611.18</v>
      </c>
      <c r="T183" s="48">
        <v>4818437.0999999996</v>
      </c>
      <c r="U183" s="48">
        <v>4818437.0999999996</v>
      </c>
      <c r="V183" s="48">
        <v>4818437.0999999996</v>
      </c>
      <c r="W183" s="48">
        <v>4818437.0999999996</v>
      </c>
      <c r="X183" s="48">
        <v>4818437.0999999996</v>
      </c>
      <c r="Y183" s="48">
        <v>4818437.0999999996</v>
      </c>
      <c r="Z183" s="48">
        <v>4818437.0999999996</v>
      </c>
      <c r="AA183" s="48">
        <v>4818437.0999999996</v>
      </c>
      <c r="AB183" s="48">
        <v>4818437.0999999996</v>
      </c>
      <c r="AC183" s="48">
        <v>4818437.0999999996</v>
      </c>
      <c r="AD183" s="48">
        <v>4818437.0999999996</v>
      </c>
      <c r="AE183" s="48">
        <v>4818437.0999999996</v>
      </c>
      <c r="AF183" s="48">
        <v>4818437.0999999996</v>
      </c>
      <c r="AG183" s="48">
        <v>4818437.0999999996</v>
      </c>
    </row>
    <row r="184" spans="1:53" x14ac:dyDescent="0.3">
      <c r="D184" s="48">
        <v>198625992.99000001</v>
      </c>
    </row>
    <row r="186" spans="1:53" x14ac:dyDescent="0.3">
      <c r="A186" t="s">
        <v>503</v>
      </c>
    </row>
    <row r="187" spans="1:53" x14ac:dyDescent="0.3">
      <c r="A187" t="s">
        <v>504</v>
      </c>
      <c r="E187">
        <v>0.03</v>
      </c>
      <c r="F187">
        <v>0.1</v>
      </c>
      <c r="G187">
        <v>0.16</v>
      </c>
      <c r="H187">
        <v>0.21</v>
      </c>
      <c r="I187">
        <v>0.27</v>
      </c>
      <c r="J187">
        <v>0.32</v>
      </c>
      <c r="K187">
        <v>0.36</v>
      </c>
      <c r="L187">
        <v>0.4</v>
      </c>
      <c r="M187">
        <v>0.44</v>
      </c>
      <c r="N187">
        <v>0.48</v>
      </c>
      <c r="O187">
        <v>0.52</v>
      </c>
      <c r="P187">
        <v>0.55000000000000004</v>
      </c>
      <c r="Q187">
        <v>0.57999999999999996</v>
      </c>
      <c r="R187">
        <v>0.61</v>
      </c>
      <c r="S187">
        <v>0.61</v>
      </c>
      <c r="T187">
        <v>0.61</v>
      </c>
      <c r="U187">
        <v>0.61</v>
      </c>
      <c r="V187">
        <v>0.61</v>
      </c>
      <c r="W187">
        <v>0.61</v>
      </c>
      <c r="X187">
        <v>0.61</v>
      </c>
      <c r="Y187">
        <v>0.61</v>
      </c>
      <c r="Z187">
        <v>0.61</v>
      </c>
      <c r="AA187">
        <v>0.61</v>
      </c>
      <c r="AB187">
        <v>0.61</v>
      </c>
      <c r="AC187">
        <v>0.61</v>
      </c>
      <c r="AD187">
        <v>0.61</v>
      </c>
      <c r="AE187">
        <v>0.61</v>
      </c>
      <c r="AF187">
        <v>0.61</v>
      </c>
      <c r="AG187">
        <v>0.61</v>
      </c>
      <c r="AH187">
        <v>0.61</v>
      </c>
      <c r="AI187">
        <v>0.61</v>
      </c>
      <c r="AJ187">
        <v>0.61</v>
      </c>
      <c r="AK187">
        <v>0.61</v>
      </c>
      <c r="AL187">
        <v>0.61</v>
      </c>
      <c r="AM187">
        <v>0.61</v>
      </c>
      <c r="AN187">
        <v>0.61</v>
      </c>
      <c r="AO187">
        <v>0.61</v>
      </c>
      <c r="AP187">
        <v>0.61</v>
      </c>
      <c r="AQ187">
        <v>0.61</v>
      </c>
      <c r="AR187">
        <v>0.61</v>
      </c>
      <c r="AS187">
        <v>0.61</v>
      </c>
      <c r="AT187">
        <v>0.61</v>
      </c>
      <c r="AU187">
        <v>0.61</v>
      </c>
      <c r="AV187">
        <v>0.61</v>
      </c>
      <c r="AW187">
        <v>0.61</v>
      </c>
      <c r="AX187">
        <v>0.61</v>
      </c>
      <c r="AY187">
        <v>0.61</v>
      </c>
      <c r="AZ187">
        <v>0.61</v>
      </c>
      <c r="BA187">
        <v>0.61</v>
      </c>
    </row>
    <row r="188" spans="1:53" x14ac:dyDescent="0.3">
      <c r="A188" t="s">
        <v>495</v>
      </c>
      <c r="B188">
        <v>7.0000000000000007E-2</v>
      </c>
      <c r="D188">
        <v>0.03</v>
      </c>
      <c r="E188">
        <v>0.06</v>
      </c>
      <c r="F188">
        <v>0.06</v>
      </c>
      <c r="G188">
        <v>0.06</v>
      </c>
      <c r="H188">
        <v>0.05</v>
      </c>
      <c r="I188">
        <v>0.05</v>
      </c>
      <c r="J188">
        <v>0.05</v>
      </c>
      <c r="K188">
        <v>0.04</v>
      </c>
      <c r="L188">
        <v>0.04</v>
      </c>
      <c r="M188">
        <v>0.04</v>
      </c>
      <c r="N188">
        <v>0.03</v>
      </c>
      <c r="O188">
        <v>0.03</v>
      </c>
      <c r="P188">
        <v>0.03</v>
      </c>
      <c r="Q188">
        <v>0.03</v>
      </c>
    </row>
    <row r="190" spans="1:53" x14ac:dyDescent="0.3">
      <c r="A190" t="s">
        <v>500</v>
      </c>
      <c r="B190" t="s">
        <v>296</v>
      </c>
      <c r="D190" s="48">
        <v>6781481</v>
      </c>
      <c r="E190">
        <v>0</v>
      </c>
      <c r="F190" s="48">
        <v>-460030.29</v>
      </c>
      <c r="G190" s="48">
        <v>-921733.42</v>
      </c>
      <c r="H190" s="48">
        <v>-1387497.65</v>
      </c>
      <c r="I190" s="48">
        <v>-1859933.53</v>
      </c>
      <c r="J190" s="48">
        <v>-2341929.85</v>
      </c>
      <c r="K190" s="48">
        <v>-2836723.09</v>
      </c>
      <c r="L190" s="48">
        <v>-3347984.72</v>
      </c>
      <c r="M190" s="48">
        <v>-3879932.21</v>
      </c>
      <c r="N190" s="48">
        <v>-4437471.6900000004</v>
      </c>
      <c r="O190" s="48">
        <v>-5026384.01</v>
      </c>
      <c r="P190" s="48">
        <v>-5653570.3899999997</v>
      </c>
      <c r="Q190" s="48">
        <v>-6327381.6399999997</v>
      </c>
      <c r="R190" s="48">
        <v>-7058066.4699999997</v>
      </c>
      <c r="S190" s="48">
        <v>-7513425.5999999996</v>
      </c>
      <c r="T190" s="48">
        <v>-8031592.8799999999</v>
      </c>
      <c r="U190" s="48">
        <v>-8626525.6899999995</v>
      </c>
      <c r="V190" s="48">
        <v>-9316647.7400000002</v>
      </c>
      <c r="W190" s="48">
        <v>-10126791.02</v>
      </c>
      <c r="X190" s="48">
        <v>-11091247.310000001</v>
      </c>
      <c r="Y190" s="48">
        <v>-12258747.029999999</v>
      </c>
      <c r="Z190" s="48">
        <v>-13700952.560000001</v>
      </c>
      <c r="AA190" s="48">
        <v>-15527746.24</v>
      </c>
      <c r="AB190" s="48">
        <v>-17916630.27</v>
      </c>
      <c r="AC190" s="48">
        <v>-21174199.41</v>
      </c>
      <c r="AD190" s="48">
        <v>-25879577.059999999</v>
      </c>
      <c r="AE190" s="48">
        <v>-33273741.93</v>
      </c>
      <c r="AF190" s="48">
        <v>-46583238.710000001</v>
      </c>
      <c r="AG190" s="48">
        <v>-77638731.180000007</v>
      </c>
    </row>
    <row r="191" spans="1:53" x14ac:dyDescent="0.3">
      <c r="A191" t="s">
        <v>501</v>
      </c>
      <c r="B191" t="s">
        <v>296</v>
      </c>
      <c r="E191" s="48">
        <v>13110863.27</v>
      </c>
      <c r="F191" s="48">
        <v>12236805.720000001</v>
      </c>
      <c r="G191" s="48">
        <v>11421018.67</v>
      </c>
      <c r="H191" s="48">
        <v>10659617.43</v>
      </c>
      <c r="I191" s="48">
        <v>9948976.2699999996</v>
      </c>
      <c r="J191" s="48">
        <v>9285711.1799999997</v>
      </c>
      <c r="K191" s="48">
        <v>8666663.7699999996</v>
      </c>
      <c r="L191" s="48">
        <v>8088886.1900000004</v>
      </c>
      <c r="M191" s="48">
        <v>7549627.1100000003</v>
      </c>
      <c r="N191" s="48">
        <v>7046318.6299999999</v>
      </c>
      <c r="O191" s="48">
        <v>6576564.0599999996</v>
      </c>
      <c r="P191" s="48">
        <v>6138126.4500000002</v>
      </c>
      <c r="Q191" s="48">
        <v>5728918.0199999996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53" x14ac:dyDescent="0.3">
      <c r="A192" t="s">
        <v>505</v>
      </c>
      <c r="B192" t="s">
        <v>296</v>
      </c>
      <c r="C192" s="48">
        <v>203444430.09</v>
      </c>
      <c r="E192" s="48">
        <v>-13110863.27</v>
      </c>
      <c r="F192" s="48">
        <v>-25347668.989999998</v>
      </c>
      <c r="G192" s="48">
        <v>-36768687.670000002</v>
      </c>
      <c r="H192" s="48">
        <v>-47428305.090000004</v>
      </c>
      <c r="I192" s="48">
        <v>-57377281.359999999</v>
      </c>
      <c r="J192" s="48">
        <v>-66662992.539999999</v>
      </c>
      <c r="K192" s="48">
        <v>-75329656.310000002</v>
      </c>
      <c r="L192" s="48">
        <v>-83418542.5</v>
      </c>
      <c r="M192" s="48">
        <v>-90968169.599999994</v>
      </c>
      <c r="N192" s="48">
        <v>-98014488.239999995</v>
      </c>
      <c r="O192" s="48">
        <v>-104591052.29000001</v>
      </c>
      <c r="P192" s="48">
        <v>-110729178.75</v>
      </c>
      <c r="Q192" s="48">
        <v>-116458096.77</v>
      </c>
      <c r="R192" s="48">
        <v>-116458096.77</v>
      </c>
      <c r="S192" s="48">
        <v>-116458096.77</v>
      </c>
      <c r="T192" s="48">
        <v>-116458096.77</v>
      </c>
      <c r="U192" s="48">
        <v>-116458096.77</v>
      </c>
      <c r="V192" s="48">
        <v>-116458096.77</v>
      </c>
      <c r="W192" s="48">
        <v>-116458096.77</v>
      </c>
      <c r="X192" s="48">
        <v>-116458096.77</v>
      </c>
      <c r="Y192" s="48">
        <v>-116458096.77</v>
      </c>
      <c r="Z192" s="48">
        <v>-116458096.77</v>
      </c>
      <c r="AA192" s="48">
        <v>-116458096.77</v>
      </c>
      <c r="AB192" s="48">
        <v>-116458096.77</v>
      </c>
      <c r="AC192" s="48">
        <v>-116458096.77</v>
      </c>
      <c r="AD192" s="48">
        <v>-116458096.77</v>
      </c>
      <c r="AE192" s="48">
        <v>-116458096.77</v>
      </c>
      <c r="AF192" s="48">
        <v>-116458096.77</v>
      </c>
      <c r="AG192" s="48">
        <v>-116458096.77</v>
      </c>
    </row>
    <row r="193" spans="1:33" x14ac:dyDescent="0.3">
      <c r="A193" t="s">
        <v>496</v>
      </c>
      <c r="B193" t="s">
        <v>296</v>
      </c>
      <c r="E193" s="48">
        <v>13110863.27</v>
      </c>
      <c r="F193" s="48">
        <v>12236805.720000001</v>
      </c>
      <c r="G193" s="48">
        <v>11421018.67</v>
      </c>
      <c r="H193" s="48">
        <v>10659617.43</v>
      </c>
      <c r="I193" s="48">
        <v>9948976.2699999996</v>
      </c>
      <c r="J193" s="48">
        <v>9285711.1799999997</v>
      </c>
      <c r="K193" s="48">
        <v>8666663.7699999996</v>
      </c>
      <c r="L193" s="48">
        <v>8088886.1900000004</v>
      </c>
      <c r="M193" s="48">
        <v>7549627.1100000003</v>
      </c>
      <c r="N193" s="48">
        <v>7046318.6299999999</v>
      </c>
      <c r="O193" s="48">
        <v>6576564.0599999996</v>
      </c>
      <c r="P193" s="48">
        <v>6138126.4500000002</v>
      </c>
      <c r="Q193" s="48">
        <v>5728918.0199999996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">
      <c r="D194" s="48">
        <v>116458096.77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E963C4F5EFA3E428D248C8C128A77AC" ma:contentTypeVersion="14" ma:contentTypeDescription="새 문서를 만듭니다." ma:contentTypeScope="" ma:versionID="227a3640939f7ad6765989aa269d4205">
  <xsd:schema xmlns:xsd="http://www.w3.org/2001/XMLSchema" xmlns:xs="http://www.w3.org/2001/XMLSchema" xmlns:p="http://schemas.microsoft.com/office/2006/metadata/properties" xmlns:ns3="57af6cd7-9428-4c2d-af47-e0240e733707" xmlns:ns4="c18e646d-222e-439a-a448-e3e7e2273acb" targetNamespace="http://schemas.microsoft.com/office/2006/metadata/properties" ma:root="true" ma:fieldsID="917dc02c45bd90d809d07e0c2c7737e3" ns3:_="" ns4:_="">
    <xsd:import namespace="57af6cd7-9428-4c2d-af47-e0240e733707"/>
    <xsd:import namespace="c18e646d-222e-439a-a448-e3e7e2273a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f6cd7-9428-4c2d-af47-e0240e733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e646d-222e-439a-a448-e3e7e2273ac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0C752E-51EC-4230-B372-1CC5B2D25D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f6cd7-9428-4c2d-af47-e0240e733707"/>
    <ds:schemaRef ds:uri="c18e646d-222e-439a-a448-e3e7e2273a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2AFB8-C7A3-400D-A80D-772C6C7F8339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18e646d-222e-439a-a448-e3e7e2273acb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57af6cd7-9428-4c2d-af47-e0240e73370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3FBFAB-514D-4F93-9A39-DBCC2FF0D7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1. DB_Experiment_VER1</vt:lpstr>
      <vt:lpstr>1. DB_Experiment_VER2</vt:lpstr>
      <vt:lpstr>5. HEN_equip</vt:lpstr>
      <vt:lpstr>3. UPC &amp; MSP (fixed)</vt:lpstr>
      <vt:lpstr>Previous_Technical performance</vt:lpstr>
      <vt:lpstr>5. Sensitivity</vt:lpstr>
      <vt:lpstr>5. HEN_Worksheet_Case4</vt:lpstr>
      <vt:lpstr>Previous_Economic Analysis</vt:lpstr>
      <vt:lpstr>Previous_Equipment cost</vt:lpstr>
      <vt:lpstr>DB_Aspen simulation_previous</vt:lpstr>
      <vt:lpstr>DB_APEA_EXECUTIVE SUMMARY</vt:lpstr>
      <vt:lpstr>DB_APEA_PROJSUM.ICS</vt:lpstr>
      <vt:lpstr>DB_APEA_CASHFLOW.ICS</vt:lpstr>
      <vt:lpstr>'3. UPC &amp; MSP (fixed)'!Print_Area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Tae KIM</dc:creator>
  <cp:lastModifiedBy>우창 정</cp:lastModifiedBy>
  <cp:lastPrinted>2021-08-19T07:50:59Z</cp:lastPrinted>
  <dcterms:created xsi:type="dcterms:W3CDTF">2019-07-10T00:34:21Z</dcterms:created>
  <dcterms:modified xsi:type="dcterms:W3CDTF">2026-01-05T05:54:04Z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0x0101002E963C4F5EFA3E428D248C8C128A77AC</vt:lpwstr>
  </property>
</Properties>
</file>